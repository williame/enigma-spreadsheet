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35" windowWidth="13335" windowHeight="5100"/>
  </bookViews>
  <sheets>
    <sheet name="Interface" sheetId="1" r:id="rId1"/>
    <sheet name="Enigma" sheetId="2" r:id="rId2"/>
    <sheet name="Decryptor" sheetId="4" r:id="rId3"/>
    <sheet name="Settings" sheetId="3" r:id="rId4"/>
  </sheets>
  <definedNames>
    <definedName name="CharCountSteckered">Enigma!$G$13</definedName>
    <definedName name="CharList">Settings!$J$4:$J$29</definedName>
    <definedName name="CharNoLookup">Settings!$Z$3:$AA$29</definedName>
    <definedName name="Inputtext">Interface!$D$6</definedName>
    <definedName name="RotorList">Settings!$L$3:$S$3</definedName>
  </definedNames>
  <calcPr calcId="124519"/>
</workbook>
</file>

<file path=xl/calcChain.xml><?xml version="1.0" encoding="utf-8"?>
<calcChain xmlns="http://schemas.openxmlformats.org/spreadsheetml/2006/main">
  <c r="V7" i="2"/>
  <c r="V6"/>
  <c r="Q7"/>
  <c r="Q6"/>
  <c r="L7"/>
  <c r="L6"/>
  <c r="O16" i="4" l="1"/>
  <c r="P16"/>
  <c r="Q16"/>
  <c r="O17"/>
  <c r="P17"/>
  <c r="Q17"/>
  <c r="O18"/>
  <c r="P18"/>
  <c r="Q18"/>
  <c r="O19"/>
  <c r="P19"/>
  <c r="Q19"/>
  <c r="O20"/>
  <c r="P20"/>
  <c r="Q20"/>
  <c r="O21"/>
  <c r="P21"/>
  <c r="Q21"/>
  <c r="O22"/>
  <c r="P22"/>
  <c r="Q22"/>
  <c r="O23"/>
  <c r="P23"/>
  <c r="Q23"/>
  <c r="O24"/>
  <c r="P24"/>
  <c r="Q24"/>
  <c r="O25"/>
  <c r="P25"/>
  <c r="Q25"/>
  <c r="O26"/>
  <c r="P26"/>
  <c r="Q26"/>
  <c r="O27"/>
  <c r="P27"/>
  <c r="Q27"/>
  <c r="O28"/>
  <c r="P28"/>
  <c r="Q28"/>
  <c r="O29"/>
  <c r="P29"/>
  <c r="Q29"/>
  <c r="O30"/>
  <c r="P30"/>
  <c r="Q30"/>
  <c r="O31"/>
  <c r="P31"/>
  <c r="Q31"/>
  <c r="O32"/>
  <c r="P32"/>
  <c r="Q32"/>
  <c r="O33"/>
  <c r="P33"/>
  <c r="Q33"/>
  <c r="O34"/>
  <c r="P34"/>
  <c r="Q34"/>
  <c r="O35"/>
  <c r="P35"/>
  <c r="Q35"/>
  <c r="P15"/>
  <c r="Q15"/>
  <c r="O15"/>
  <c r="Q9" i="2"/>
  <c r="L9"/>
  <c r="M16" i="4"/>
  <c r="N16" s="1"/>
  <c r="M17"/>
  <c r="N17" s="1"/>
  <c r="M18"/>
  <c r="N18" s="1"/>
  <c r="M19"/>
  <c r="N19" s="1"/>
  <c r="M20"/>
  <c r="N20" s="1"/>
  <c r="M21"/>
  <c r="N21" s="1"/>
  <c r="M22"/>
  <c r="N22" s="1"/>
  <c r="M23"/>
  <c r="N23" s="1"/>
  <c r="M24"/>
  <c r="N24" s="1"/>
  <c r="M25"/>
  <c r="N25" s="1"/>
  <c r="M26"/>
  <c r="N26" s="1"/>
  <c r="M27"/>
  <c r="N27" s="1"/>
  <c r="M28"/>
  <c r="N28" s="1"/>
  <c r="M29"/>
  <c r="N29" s="1"/>
  <c r="M30"/>
  <c r="N30" s="1"/>
  <c r="M31"/>
  <c r="N31" s="1"/>
  <c r="M32"/>
  <c r="N32" s="1"/>
  <c r="M33"/>
  <c r="N33" s="1"/>
  <c r="M34"/>
  <c r="N34" s="1"/>
  <c r="M35"/>
  <c r="N35" s="1"/>
  <c r="M15"/>
  <c r="N15" s="1"/>
  <c r="K16"/>
  <c r="L16" s="1"/>
  <c r="K17"/>
  <c r="L17" s="1"/>
  <c r="K18"/>
  <c r="L18" s="1"/>
  <c r="K19"/>
  <c r="L19" s="1"/>
  <c r="K20"/>
  <c r="L20" s="1"/>
  <c r="K21"/>
  <c r="L21" s="1"/>
  <c r="K22"/>
  <c r="L22" s="1"/>
  <c r="K23"/>
  <c r="L23" s="1"/>
  <c r="K24"/>
  <c r="L24" s="1"/>
  <c r="K25"/>
  <c r="L25" s="1"/>
  <c r="K26"/>
  <c r="L26" s="1"/>
  <c r="K27"/>
  <c r="L27" s="1"/>
  <c r="K28"/>
  <c r="L28" s="1"/>
  <c r="K29"/>
  <c r="L29" s="1"/>
  <c r="K30"/>
  <c r="L30" s="1"/>
  <c r="K31"/>
  <c r="L31" s="1"/>
  <c r="K32"/>
  <c r="L32" s="1"/>
  <c r="K33"/>
  <c r="L33" s="1"/>
  <c r="K34"/>
  <c r="L34" s="1"/>
  <c r="K35"/>
  <c r="L35" s="1"/>
  <c r="K15"/>
  <c r="L15" s="1"/>
  <c r="I16"/>
  <c r="J16" s="1"/>
  <c r="I17"/>
  <c r="J17" s="1"/>
  <c r="I18"/>
  <c r="J18" s="1"/>
  <c r="I19"/>
  <c r="J19" s="1"/>
  <c r="I20"/>
  <c r="J20" s="1"/>
  <c r="I21"/>
  <c r="J21" s="1"/>
  <c r="I22"/>
  <c r="J22" s="1"/>
  <c r="I23"/>
  <c r="J23" s="1"/>
  <c r="I24"/>
  <c r="J24" s="1"/>
  <c r="I25"/>
  <c r="J25" s="1"/>
  <c r="I26"/>
  <c r="J26" s="1"/>
  <c r="I27"/>
  <c r="J27" s="1"/>
  <c r="I28"/>
  <c r="J28" s="1"/>
  <c r="I29"/>
  <c r="J29" s="1"/>
  <c r="I30"/>
  <c r="J30" s="1"/>
  <c r="I31"/>
  <c r="J31" s="1"/>
  <c r="I32"/>
  <c r="J32" s="1"/>
  <c r="I33"/>
  <c r="J33" s="1"/>
  <c r="I34"/>
  <c r="J34" s="1"/>
  <c r="I35"/>
  <c r="J35" s="1"/>
  <c r="I15"/>
  <c r="J15" s="1"/>
  <c r="AM12" i="2"/>
  <c r="D24" i="1" s="1"/>
  <c r="C8" i="2"/>
  <c r="D5" i="1" s="1"/>
  <c r="D19"/>
  <c r="D21"/>
  <c r="AL20" i="2"/>
  <c r="AL21"/>
  <c r="AL22" s="1"/>
  <c r="AL23" s="1"/>
  <c r="AL24" s="1"/>
  <c r="AL25" s="1"/>
  <c r="AL26" s="1"/>
  <c r="AL27" s="1"/>
  <c r="AL28" s="1"/>
  <c r="AL29" s="1"/>
  <c r="AL30" s="1"/>
  <c r="AL31" s="1"/>
  <c r="AL32" s="1"/>
  <c r="AL33" s="1"/>
  <c r="AL34" s="1"/>
  <c r="AL35" s="1"/>
  <c r="AL36" s="1"/>
  <c r="AL37" s="1"/>
  <c r="AL38" s="1"/>
  <c r="AL39" s="1"/>
  <c r="AL40" s="1"/>
  <c r="AL41" s="1"/>
  <c r="AL42" s="1"/>
  <c r="AL43" s="1"/>
  <c r="AL44" s="1"/>
  <c r="AL45" s="1"/>
  <c r="AL46" s="1"/>
  <c r="AL47" s="1"/>
  <c r="AL48" s="1"/>
  <c r="AL49" s="1"/>
  <c r="AL50" s="1"/>
  <c r="AL51" s="1"/>
  <c r="AL52" s="1"/>
  <c r="AL53" s="1"/>
  <c r="AL54" s="1"/>
  <c r="AL55" s="1"/>
  <c r="AL56" s="1"/>
  <c r="AL57" s="1"/>
  <c r="AL58" s="1"/>
  <c r="AL59" s="1"/>
  <c r="AL60" s="1"/>
  <c r="AL61" s="1"/>
  <c r="AL62" s="1"/>
  <c r="AL63" s="1"/>
  <c r="AL64" s="1"/>
  <c r="AL65" s="1"/>
  <c r="AL66" s="1"/>
  <c r="AL67" s="1"/>
  <c r="AL68" s="1"/>
  <c r="AL69" s="1"/>
  <c r="AL70" s="1"/>
  <c r="AL71" s="1"/>
  <c r="AL72" s="1"/>
  <c r="AL73" s="1"/>
  <c r="AL74" s="1"/>
  <c r="AL75" s="1"/>
  <c r="AL76" s="1"/>
  <c r="AL77" s="1"/>
  <c r="AL78" s="1"/>
  <c r="AL79" s="1"/>
  <c r="AL80" s="1"/>
  <c r="AL81" s="1"/>
  <c r="AL82" s="1"/>
  <c r="AL83" s="1"/>
  <c r="AL84" s="1"/>
  <c r="AL85" s="1"/>
  <c r="AL86" s="1"/>
  <c r="AL87" s="1"/>
  <c r="AL88" s="1"/>
  <c r="AL89" s="1"/>
  <c r="AL90" s="1"/>
  <c r="AL91" s="1"/>
  <c r="AL92" s="1"/>
  <c r="AL93" s="1"/>
  <c r="AL94" s="1"/>
  <c r="AL95" s="1"/>
  <c r="AL96" s="1"/>
  <c r="AL97" s="1"/>
  <c r="AL98" s="1"/>
  <c r="AL99" s="1"/>
  <c r="AL100" s="1"/>
  <c r="AL101" s="1"/>
  <c r="AL102" s="1"/>
  <c r="AL103" s="1"/>
  <c r="AL104" s="1"/>
  <c r="AL105" s="1"/>
  <c r="AL106" s="1"/>
  <c r="AL107" s="1"/>
  <c r="AL108" s="1"/>
  <c r="AL109" s="1"/>
  <c r="AL110" s="1"/>
  <c r="AL111" s="1"/>
  <c r="AL112" s="1"/>
  <c r="AL113" s="1"/>
  <c r="AL114" s="1"/>
  <c r="AL115" s="1"/>
  <c r="AL116" s="1"/>
  <c r="AL117" s="1"/>
  <c r="AL118" s="1"/>
  <c r="AL119" s="1"/>
  <c r="AL120" s="1"/>
  <c r="AL121" s="1"/>
  <c r="AL122" s="1"/>
  <c r="AL123" s="1"/>
  <c r="AL124" s="1"/>
  <c r="AL125" s="1"/>
  <c r="AL126" s="1"/>
  <c r="AL127" s="1"/>
  <c r="AL128" s="1"/>
  <c r="AL129" s="1"/>
  <c r="AL130" s="1"/>
  <c r="AL131" s="1"/>
  <c r="AL132" s="1"/>
  <c r="AL133" s="1"/>
  <c r="AL134" s="1"/>
  <c r="AL135" s="1"/>
  <c r="AL136" s="1"/>
  <c r="AL137" s="1"/>
  <c r="AL138" s="1"/>
  <c r="AL139" s="1"/>
  <c r="AL140" s="1"/>
  <c r="AL141" s="1"/>
  <c r="AL142" s="1"/>
  <c r="AL143" s="1"/>
  <c r="AL144" s="1"/>
  <c r="AL145" s="1"/>
  <c r="AL146" s="1"/>
  <c r="AL147" s="1"/>
  <c r="AL148" s="1"/>
  <c r="AL149" s="1"/>
  <c r="AL150" s="1"/>
  <c r="AL151" s="1"/>
  <c r="AL152" s="1"/>
  <c r="AL153" s="1"/>
  <c r="AL154" s="1"/>
  <c r="AL155" s="1"/>
  <c r="AL156" s="1"/>
  <c r="AL157" s="1"/>
  <c r="AL158" s="1"/>
  <c r="AL159" s="1"/>
  <c r="AL160" s="1"/>
  <c r="AL161" s="1"/>
  <c r="AL162" s="1"/>
  <c r="AL163" s="1"/>
  <c r="AL164" s="1"/>
  <c r="AL165" s="1"/>
  <c r="AL166" s="1"/>
  <c r="AL167" s="1"/>
  <c r="AL168" s="1"/>
  <c r="AL169" s="1"/>
  <c r="AL170" s="1"/>
  <c r="AL171" s="1"/>
  <c r="AL172" s="1"/>
  <c r="AL173" s="1"/>
  <c r="AL174" s="1"/>
  <c r="AL175" s="1"/>
  <c r="AL176" s="1"/>
  <c r="AL177" s="1"/>
  <c r="AL178" s="1"/>
  <c r="AL179" s="1"/>
  <c r="AL180" s="1"/>
  <c r="AL181" s="1"/>
  <c r="AL182" s="1"/>
  <c r="AL183" s="1"/>
  <c r="AL184" s="1"/>
  <c r="AL185" s="1"/>
  <c r="AL186" s="1"/>
  <c r="AL187" s="1"/>
  <c r="AL188" s="1"/>
  <c r="AL189" s="1"/>
  <c r="AL190" s="1"/>
  <c r="AL191" s="1"/>
  <c r="AL192" s="1"/>
  <c r="AL193" s="1"/>
  <c r="AL194" s="1"/>
  <c r="AL195" s="1"/>
  <c r="AL196" s="1"/>
  <c r="AL197" s="1"/>
  <c r="AL198" s="1"/>
  <c r="AL199" s="1"/>
  <c r="AL200" s="1"/>
  <c r="AL201" s="1"/>
  <c r="AL202" s="1"/>
  <c r="AL203" s="1"/>
  <c r="AL204" s="1"/>
  <c r="AL205" s="1"/>
  <c r="AL206" s="1"/>
  <c r="AL207" s="1"/>
  <c r="AL208" s="1"/>
  <c r="AL209" s="1"/>
  <c r="AL210" s="1"/>
  <c r="AL211" s="1"/>
  <c r="AL212" s="1"/>
  <c r="AL213" s="1"/>
  <c r="AL214" s="1"/>
  <c r="AL215" s="1"/>
  <c r="AL216" s="1"/>
  <c r="AL217" s="1"/>
  <c r="AL218" s="1"/>
  <c r="AL219" s="1"/>
  <c r="AL220" s="1"/>
  <c r="AL221" s="1"/>
  <c r="AL222" s="1"/>
  <c r="AL223" s="1"/>
  <c r="AL224" s="1"/>
  <c r="AL225" s="1"/>
  <c r="AL226" s="1"/>
  <c r="AL227" s="1"/>
  <c r="AL228" s="1"/>
  <c r="AL229" s="1"/>
  <c r="AL230" s="1"/>
  <c r="AL231" s="1"/>
  <c r="AL232" s="1"/>
  <c r="AL233" s="1"/>
  <c r="AL234" s="1"/>
  <c r="AL235" s="1"/>
  <c r="AL236" s="1"/>
  <c r="AL237" s="1"/>
  <c r="AL238" s="1"/>
  <c r="AL239" s="1"/>
  <c r="AL240" s="1"/>
  <c r="AL241" s="1"/>
  <c r="AL242" s="1"/>
  <c r="AL243" s="1"/>
  <c r="AL244" s="1"/>
  <c r="AL245" s="1"/>
  <c r="AL246" s="1"/>
  <c r="AL247" s="1"/>
  <c r="AL248" s="1"/>
  <c r="AL249" s="1"/>
  <c r="AL250" s="1"/>
  <c r="AL251" s="1"/>
  <c r="AL252" s="1"/>
  <c r="AL253" s="1"/>
  <c r="AL254" s="1"/>
  <c r="AL255" s="1"/>
  <c r="AL256" s="1"/>
  <c r="AL257" s="1"/>
  <c r="AL258" s="1"/>
  <c r="AL259" s="1"/>
  <c r="AL260" s="1"/>
  <c r="AL261" s="1"/>
  <c r="AL262" s="1"/>
  <c r="AL263" s="1"/>
  <c r="AL264" s="1"/>
  <c r="AL265" s="1"/>
  <c r="AL266" s="1"/>
  <c r="AL267" s="1"/>
  <c r="AL268" s="1"/>
  <c r="AL269" s="1"/>
  <c r="AL270" s="1"/>
  <c r="AL271" s="1"/>
  <c r="AL272" s="1"/>
  <c r="AL273" s="1"/>
  <c r="AL274" s="1"/>
  <c r="AL275" s="1"/>
  <c r="AL276" s="1"/>
  <c r="AL277" s="1"/>
  <c r="AL278" s="1"/>
  <c r="AL279" s="1"/>
  <c r="AL280" s="1"/>
  <c r="AL281" s="1"/>
  <c r="AL282" s="1"/>
  <c r="AL283" s="1"/>
  <c r="AL284" s="1"/>
  <c r="AL285" s="1"/>
  <c r="AL286" s="1"/>
  <c r="AL287" s="1"/>
  <c r="AL288" s="1"/>
  <c r="AL289" s="1"/>
  <c r="AL290" s="1"/>
  <c r="AL291" s="1"/>
  <c r="AL292" s="1"/>
  <c r="AL293" s="1"/>
  <c r="AL294" s="1"/>
  <c r="AL295" s="1"/>
  <c r="AL296" s="1"/>
  <c r="AL297" s="1"/>
  <c r="AL298" s="1"/>
  <c r="AL299" s="1"/>
  <c r="AL300" s="1"/>
  <c r="AL301" s="1"/>
  <c r="AL302" s="1"/>
  <c r="AL303" s="1"/>
  <c r="AL304" s="1"/>
  <c r="AL305" s="1"/>
  <c r="AL306" s="1"/>
  <c r="AL307" s="1"/>
  <c r="AL308" s="1"/>
  <c r="AL309" s="1"/>
  <c r="AL310" s="1"/>
  <c r="AL311" s="1"/>
  <c r="AL312" s="1"/>
  <c r="AL313" s="1"/>
  <c r="AL314" s="1"/>
  <c r="AL315" s="1"/>
  <c r="AL316" s="1"/>
  <c r="AL317" s="1"/>
  <c r="AL318" s="1"/>
  <c r="AL319" s="1"/>
  <c r="AL320" s="1"/>
  <c r="AL321" s="1"/>
  <c r="AL322" s="1"/>
  <c r="AL323" s="1"/>
  <c r="AL324" s="1"/>
  <c r="AL325" s="1"/>
  <c r="AL326" s="1"/>
  <c r="AL327" s="1"/>
  <c r="AL328" s="1"/>
  <c r="AL329" s="1"/>
  <c r="AL330" s="1"/>
  <c r="AL331" s="1"/>
  <c r="AL332" s="1"/>
  <c r="AL333" s="1"/>
  <c r="AL334" s="1"/>
  <c r="AL335" s="1"/>
  <c r="AL336" s="1"/>
  <c r="AL337" s="1"/>
  <c r="AL338" s="1"/>
  <c r="AL339" s="1"/>
  <c r="AL340" s="1"/>
  <c r="AL341" s="1"/>
  <c r="AL342" s="1"/>
  <c r="AL343" s="1"/>
  <c r="AL344" s="1"/>
  <c r="AL345" s="1"/>
  <c r="AL346" s="1"/>
  <c r="AL347" s="1"/>
  <c r="AL348" s="1"/>
  <c r="AL349" s="1"/>
  <c r="AL350" s="1"/>
  <c r="AL351" s="1"/>
  <c r="AL352" s="1"/>
  <c r="AL353" s="1"/>
  <c r="AL354" s="1"/>
  <c r="AL355" s="1"/>
  <c r="AL356" s="1"/>
  <c r="AL357" s="1"/>
  <c r="AL358" s="1"/>
  <c r="AL359" s="1"/>
  <c r="AL360" s="1"/>
  <c r="AL361" s="1"/>
  <c r="AL362" s="1"/>
  <c r="AL363" s="1"/>
  <c r="AL364" s="1"/>
  <c r="AL365" s="1"/>
  <c r="AL366" s="1"/>
  <c r="AL367" s="1"/>
  <c r="AL368" s="1"/>
  <c r="AL369" s="1"/>
  <c r="AL370" s="1"/>
  <c r="AL371" s="1"/>
  <c r="AL372" s="1"/>
  <c r="AL373" s="1"/>
  <c r="AL374" s="1"/>
  <c r="AL375" s="1"/>
  <c r="AL376" s="1"/>
  <c r="AL377" s="1"/>
  <c r="AL378" s="1"/>
  <c r="AL379" s="1"/>
  <c r="AL380" s="1"/>
  <c r="AL381" s="1"/>
  <c r="AL382" s="1"/>
  <c r="AL383" s="1"/>
  <c r="AL384" s="1"/>
  <c r="AL385" s="1"/>
  <c r="AL386" s="1"/>
  <c r="AL387" s="1"/>
  <c r="AL388" s="1"/>
  <c r="AL389" s="1"/>
  <c r="AL390" s="1"/>
  <c r="AL391" s="1"/>
  <c r="AL392" s="1"/>
  <c r="AL393" s="1"/>
  <c r="AL394" s="1"/>
  <c r="AL395" s="1"/>
  <c r="AL396" s="1"/>
  <c r="AL397" s="1"/>
  <c r="AL398" s="1"/>
  <c r="AL399" s="1"/>
  <c r="AL400" s="1"/>
  <c r="AL401" s="1"/>
  <c r="AL402" s="1"/>
  <c r="AL403" s="1"/>
  <c r="AL404" s="1"/>
  <c r="AL405" s="1"/>
  <c r="AL406" s="1"/>
  <c r="AL407" s="1"/>
  <c r="AL408" s="1"/>
  <c r="AL409" s="1"/>
  <c r="AL410" s="1"/>
  <c r="AL411" s="1"/>
  <c r="AL412" s="1"/>
  <c r="AL413" s="1"/>
  <c r="AL414" s="1"/>
  <c r="AL415" s="1"/>
  <c r="AL416" s="1"/>
  <c r="AL417" s="1"/>
  <c r="AL418" s="1"/>
  <c r="AL419" s="1"/>
  <c r="AL420" s="1"/>
  <c r="AL421" s="1"/>
  <c r="AL422" s="1"/>
  <c r="AL423" s="1"/>
  <c r="AL424" s="1"/>
  <c r="AL425" s="1"/>
  <c r="AL426" s="1"/>
  <c r="AL427" s="1"/>
  <c r="AL428" s="1"/>
  <c r="AL429" s="1"/>
  <c r="AL430" s="1"/>
  <c r="AL431" s="1"/>
  <c r="AL432" s="1"/>
  <c r="AL433" s="1"/>
  <c r="AL434" s="1"/>
  <c r="AL435" s="1"/>
  <c r="AL436" s="1"/>
  <c r="AL437" s="1"/>
  <c r="AL438" s="1"/>
  <c r="AL439" s="1"/>
  <c r="AL440" s="1"/>
  <c r="AL441" s="1"/>
  <c r="AL442" s="1"/>
  <c r="AL443" s="1"/>
  <c r="AL444" s="1"/>
  <c r="AL445" s="1"/>
  <c r="AL446" s="1"/>
  <c r="AL447" s="1"/>
  <c r="AL448" s="1"/>
  <c r="AL449" s="1"/>
  <c r="AL450" s="1"/>
  <c r="AL451" s="1"/>
  <c r="AL452" s="1"/>
  <c r="AL453" s="1"/>
  <c r="AL454" s="1"/>
  <c r="AL455" s="1"/>
  <c r="AL456" s="1"/>
  <c r="AL457" s="1"/>
  <c r="AL458" s="1"/>
  <c r="AL459" s="1"/>
  <c r="AL460" s="1"/>
  <c r="AL461" s="1"/>
  <c r="AL462" s="1"/>
  <c r="AL463" s="1"/>
  <c r="AL464" s="1"/>
  <c r="AL465" s="1"/>
  <c r="AL466" s="1"/>
  <c r="AL467" s="1"/>
  <c r="AL468" s="1"/>
  <c r="AL469" s="1"/>
  <c r="AL470" s="1"/>
  <c r="AL471" s="1"/>
  <c r="AL472" s="1"/>
  <c r="AL473" s="1"/>
  <c r="AL474" s="1"/>
  <c r="AL475" s="1"/>
  <c r="AL476" s="1"/>
  <c r="AL477" s="1"/>
  <c r="AL478" s="1"/>
  <c r="AL479" s="1"/>
  <c r="AL480" s="1"/>
  <c r="AL481" s="1"/>
  <c r="AL482" s="1"/>
  <c r="AL483" s="1"/>
  <c r="AL484" s="1"/>
  <c r="AL485" s="1"/>
  <c r="AL486" s="1"/>
  <c r="AL487" s="1"/>
  <c r="AL488" s="1"/>
  <c r="AL489" s="1"/>
  <c r="AL490" s="1"/>
  <c r="AL491" s="1"/>
  <c r="AL492" s="1"/>
  <c r="AL493" s="1"/>
  <c r="AL494" s="1"/>
  <c r="AL495" s="1"/>
  <c r="AL496" s="1"/>
  <c r="AL497" s="1"/>
  <c r="AL498" s="1"/>
  <c r="AL499" s="1"/>
  <c r="AL500" s="1"/>
  <c r="AL501" s="1"/>
  <c r="AL502" s="1"/>
  <c r="AL503" s="1"/>
  <c r="AL504" s="1"/>
  <c r="AL505" s="1"/>
  <c r="AL506" s="1"/>
  <c r="AL507" s="1"/>
  <c r="AL508" s="1"/>
  <c r="AL509" s="1"/>
  <c r="AL510" s="1"/>
  <c r="AL511" s="1"/>
  <c r="AL512" s="1"/>
  <c r="AL513" s="1"/>
  <c r="AL514" s="1"/>
  <c r="AL16"/>
  <c r="AL17" s="1"/>
  <c r="AL18" s="1"/>
  <c r="AL19" s="1"/>
  <c r="H3" i="3"/>
  <c r="AN19" i="2" s="1"/>
  <c r="C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15"/>
  <c r="E13" i="1"/>
  <c r="E14"/>
  <c r="E12"/>
  <c r="H10" i="3"/>
  <c r="H13"/>
  <c r="H15"/>
  <c r="H23"/>
  <c r="G8"/>
  <c r="H8" s="1"/>
  <c r="G9"/>
  <c r="G10"/>
  <c r="G11"/>
  <c r="G12"/>
  <c r="H12" s="1"/>
  <c r="G13"/>
  <c r="G14"/>
  <c r="H14" s="1"/>
  <c r="G15"/>
  <c r="G16"/>
  <c r="G17"/>
  <c r="G18"/>
  <c r="H18" s="1"/>
  <c r="G19"/>
  <c r="H19" s="1"/>
  <c r="G20"/>
  <c r="H20" s="1"/>
  <c r="G21"/>
  <c r="H21" s="1"/>
  <c r="G22"/>
  <c r="H22" s="1"/>
  <c r="G23"/>
  <c r="G24"/>
  <c r="H24" s="1"/>
  <c r="G25"/>
  <c r="H25" s="1"/>
  <c r="G26"/>
  <c r="H26" s="1"/>
  <c r="G27"/>
  <c r="H27" s="1"/>
  <c r="G28"/>
  <c r="H28" s="1"/>
  <c r="G4"/>
  <c r="AN23" i="2" s="1"/>
  <c r="G5" i="3"/>
  <c r="H5" s="1"/>
  <c r="G6"/>
  <c r="H6" s="1"/>
  <c r="G7"/>
  <c r="H7" s="1"/>
  <c r="C16" i="2"/>
  <c r="D16" s="1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D489" s="1"/>
  <c r="C490"/>
  <c r="D490" s="1"/>
  <c r="C491"/>
  <c r="C492"/>
  <c r="D492" s="1"/>
  <c r="C493"/>
  <c r="D493" s="1"/>
  <c r="C494"/>
  <c r="D494" s="1"/>
  <c r="C495"/>
  <c r="D495" s="1"/>
  <c r="C496"/>
  <c r="D496" s="1"/>
  <c r="C497"/>
  <c r="D497" s="1"/>
  <c r="C498"/>
  <c r="D498" s="1"/>
  <c r="C499"/>
  <c r="D499" s="1"/>
  <c r="C500"/>
  <c r="D500" s="1"/>
  <c r="C501"/>
  <c r="D501" s="1"/>
  <c r="C502"/>
  <c r="D502" s="1"/>
  <c r="C503"/>
  <c r="D503" s="1"/>
  <c r="C504"/>
  <c r="D504" s="1"/>
  <c r="C505"/>
  <c r="D505" s="1"/>
  <c r="C506"/>
  <c r="D506" s="1"/>
  <c r="C507"/>
  <c r="D507" s="1"/>
  <c r="C508"/>
  <c r="D508" s="1"/>
  <c r="C509"/>
  <c r="D509" s="1"/>
  <c r="C510"/>
  <c r="D510" s="1"/>
  <c r="C511"/>
  <c r="D511" s="1"/>
  <c r="C512"/>
  <c r="D512" s="1"/>
  <c r="C513"/>
  <c r="D513" s="1"/>
  <c r="C514"/>
  <c r="D514" s="1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91"/>
  <c r="C34"/>
  <c r="D34" s="1"/>
  <c r="C35"/>
  <c r="D35" s="1"/>
  <c r="C36"/>
  <c r="D36" s="1"/>
  <c r="C37"/>
  <c r="D37" s="1"/>
  <c r="C38"/>
  <c r="D38" s="1"/>
  <c r="C39"/>
  <c r="D39" s="1"/>
  <c r="C40"/>
  <c r="D40" s="1"/>
  <c r="C41"/>
  <c r="D41" s="1"/>
  <c r="C42"/>
  <c r="D42" s="1"/>
  <c r="C43"/>
  <c r="D43" s="1"/>
  <c r="C44"/>
  <c r="D44" s="1"/>
  <c r="C45"/>
  <c r="D45" s="1"/>
  <c r="C46"/>
  <c r="D46" s="1"/>
  <c r="C47"/>
  <c r="D47" s="1"/>
  <c r="C48"/>
  <c r="D48" s="1"/>
  <c r="C49"/>
  <c r="D49" s="1"/>
  <c r="C50"/>
  <c r="D50" s="1"/>
  <c r="C51"/>
  <c r="D51" s="1"/>
  <c r="C52"/>
  <c r="D52" s="1"/>
  <c r="C53"/>
  <c r="D53" s="1"/>
  <c r="C54"/>
  <c r="D54" s="1"/>
  <c r="C55"/>
  <c r="D55" s="1"/>
  <c r="C56"/>
  <c r="D56" s="1"/>
  <c r="C57"/>
  <c r="D57" s="1"/>
  <c r="C58"/>
  <c r="D58" s="1"/>
  <c r="C59"/>
  <c r="D59" s="1"/>
  <c r="C60"/>
  <c r="D60" s="1"/>
  <c r="C61"/>
  <c r="D61" s="1"/>
  <c r="C62"/>
  <c r="D62" s="1"/>
  <c r="C63"/>
  <c r="D63" s="1"/>
  <c r="C64"/>
  <c r="D64" s="1"/>
  <c r="C65"/>
  <c r="D65" s="1"/>
  <c r="C66"/>
  <c r="D66" s="1"/>
  <c r="C67"/>
  <c r="D67" s="1"/>
  <c r="C68"/>
  <c r="D68" s="1"/>
  <c r="C69"/>
  <c r="D69" s="1"/>
  <c r="C70"/>
  <c r="D70" s="1"/>
  <c r="C71"/>
  <c r="D71" s="1"/>
  <c r="C72"/>
  <c r="D72" s="1"/>
  <c r="C73"/>
  <c r="D73" s="1"/>
  <c r="C74"/>
  <c r="D74" s="1"/>
  <c r="C75"/>
  <c r="D75" s="1"/>
  <c r="C76"/>
  <c r="D76" s="1"/>
  <c r="C77"/>
  <c r="D77" s="1"/>
  <c r="C78"/>
  <c r="D78" s="1"/>
  <c r="C79"/>
  <c r="D79" s="1"/>
  <c r="C80"/>
  <c r="D80" s="1"/>
  <c r="C81"/>
  <c r="D81" s="1"/>
  <c r="C82"/>
  <c r="D82" s="1"/>
  <c r="C83"/>
  <c r="D83" s="1"/>
  <c r="C84"/>
  <c r="D84" s="1"/>
  <c r="C85"/>
  <c r="D85" s="1"/>
  <c r="C86"/>
  <c r="D86" s="1"/>
  <c r="C87"/>
  <c r="D87" s="1"/>
  <c r="C88"/>
  <c r="D88" s="1"/>
  <c r="C89"/>
  <c r="D89" s="1"/>
  <c r="C90"/>
  <c r="D90" s="1"/>
  <c r="C91"/>
  <c r="D91" s="1"/>
  <c r="C92"/>
  <c r="D92" s="1"/>
  <c r="C93"/>
  <c r="D93" s="1"/>
  <c r="C94"/>
  <c r="D94" s="1"/>
  <c r="C95"/>
  <c r="D95" s="1"/>
  <c r="C96"/>
  <c r="D96" s="1"/>
  <c r="C97"/>
  <c r="D97" s="1"/>
  <c r="C98"/>
  <c r="D98" s="1"/>
  <c r="C99"/>
  <c r="D99" s="1"/>
  <c r="C100"/>
  <c r="D100" s="1"/>
  <c r="C101"/>
  <c r="D101" s="1"/>
  <c r="C102"/>
  <c r="D102" s="1"/>
  <c r="C103"/>
  <c r="D103" s="1"/>
  <c r="C104"/>
  <c r="D104" s="1"/>
  <c r="C105"/>
  <c r="D105" s="1"/>
  <c r="C106"/>
  <c r="D106" s="1"/>
  <c r="C107"/>
  <c r="D107" s="1"/>
  <c r="C108"/>
  <c r="D108" s="1"/>
  <c r="C109"/>
  <c r="D109" s="1"/>
  <c r="C110"/>
  <c r="D110" s="1"/>
  <c r="C111"/>
  <c r="D111" s="1"/>
  <c r="C112"/>
  <c r="D112" s="1"/>
  <c r="C113"/>
  <c r="D113" s="1"/>
  <c r="C114"/>
  <c r="D114" s="1"/>
  <c r="C115"/>
  <c r="D115" s="1"/>
  <c r="C116"/>
  <c r="D116" s="1"/>
  <c r="C117"/>
  <c r="D117" s="1"/>
  <c r="C118"/>
  <c r="D118" s="1"/>
  <c r="C119"/>
  <c r="D119" s="1"/>
  <c r="C120"/>
  <c r="D120" s="1"/>
  <c r="C121"/>
  <c r="D121" s="1"/>
  <c r="C122"/>
  <c r="D122" s="1"/>
  <c r="C123"/>
  <c r="D123" s="1"/>
  <c r="C124"/>
  <c r="D124" s="1"/>
  <c r="C125"/>
  <c r="D125" s="1"/>
  <c r="C126"/>
  <c r="D126" s="1"/>
  <c r="C127"/>
  <c r="D127" s="1"/>
  <c r="C128"/>
  <c r="D128" s="1"/>
  <c r="C129"/>
  <c r="D129" s="1"/>
  <c r="C130"/>
  <c r="D130" s="1"/>
  <c r="C131"/>
  <c r="D131" s="1"/>
  <c r="C132"/>
  <c r="D132" s="1"/>
  <c r="C133"/>
  <c r="D133" s="1"/>
  <c r="C134"/>
  <c r="D134" s="1"/>
  <c r="C135"/>
  <c r="D135" s="1"/>
  <c r="C136"/>
  <c r="D136" s="1"/>
  <c r="C137"/>
  <c r="D137" s="1"/>
  <c r="C138"/>
  <c r="D138" s="1"/>
  <c r="C139"/>
  <c r="D139" s="1"/>
  <c r="C140"/>
  <c r="D140" s="1"/>
  <c r="C141"/>
  <c r="D141" s="1"/>
  <c r="C142"/>
  <c r="D142" s="1"/>
  <c r="C143"/>
  <c r="D143" s="1"/>
  <c r="C144"/>
  <c r="D144" s="1"/>
  <c r="C145"/>
  <c r="D145" s="1"/>
  <c r="C146"/>
  <c r="D146" s="1"/>
  <c r="C147"/>
  <c r="D147" s="1"/>
  <c r="C148"/>
  <c r="D148" s="1"/>
  <c r="C17"/>
  <c r="D17" s="1"/>
  <c r="C18"/>
  <c r="D18" s="1"/>
  <c r="C19"/>
  <c r="D19" s="1"/>
  <c r="C20"/>
  <c r="D20" s="1"/>
  <c r="C21"/>
  <c r="D21" s="1"/>
  <c r="C22"/>
  <c r="D22" s="1"/>
  <c r="C23"/>
  <c r="D23" s="1"/>
  <c r="C24"/>
  <c r="D24" s="1"/>
  <c r="C25"/>
  <c r="D25" s="1"/>
  <c r="C26"/>
  <c r="D26" s="1"/>
  <c r="C27"/>
  <c r="D27" s="1"/>
  <c r="C28"/>
  <c r="D28" s="1"/>
  <c r="C29"/>
  <c r="D29" s="1"/>
  <c r="C30"/>
  <c r="D30" s="1"/>
  <c r="C31"/>
  <c r="D31" s="1"/>
  <c r="C32"/>
  <c r="D32" s="1"/>
  <c r="C33"/>
  <c r="D33" s="1"/>
  <c r="AN17" l="1"/>
  <c r="AN16"/>
  <c r="AN514"/>
  <c r="AN512"/>
  <c r="AN510"/>
  <c r="AN508"/>
  <c r="AN506"/>
  <c r="AN504"/>
  <c r="AN502"/>
  <c r="AN500"/>
  <c r="AN498"/>
  <c r="AN496"/>
  <c r="AN494"/>
  <c r="AN492"/>
  <c r="AN490"/>
  <c r="AN488"/>
  <c r="AN486"/>
  <c r="AN484"/>
  <c r="AN482"/>
  <c r="AN480"/>
  <c r="AN478"/>
  <c r="AN476"/>
  <c r="AN474"/>
  <c r="AN472"/>
  <c r="AN470"/>
  <c r="AN468"/>
  <c r="AN466"/>
  <c r="AN464"/>
  <c r="AN462"/>
  <c r="AN460"/>
  <c r="AN458"/>
  <c r="AN456"/>
  <c r="AN454"/>
  <c r="AN452"/>
  <c r="AN450"/>
  <c r="AN448"/>
  <c r="AN446"/>
  <c r="AN444"/>
  <c r="AN442"/>
  <c r="AN440"/>
  <c r="AN438"/>
  <c r="AN436"/>
  <c r="AN434"/>
  <c r="AN432"/>
  <c r="AN430"/>
  <c r="AN428"/>
  <c r="AN426"/>
  <c r="AN424"/>
  <c r="AN422"/>
  <c r="AN420"/>
  <c r="AN418"/>
  <c r="AN416"/>
  <c r="AN414"/>
  <c r="AN412"/>
  <c r="AN410"/>
  <c r="AN408"/>
  <c r="AN406"/>
  <c r="AN404"/>
  <c r="AN402"/>
  <c r="AN400"/>
  <c r="AN398"/>
  <c r="AN396"/>
  <c r="AN394"/>
  <c r="AN392"/>
  <c r="AN390"/>
  <c r="AN388"/>
  <c r="AN386"/>
  <c r="AN384"/>
  <c r="AN382"/>
  <c r="AN380"/>
  <c r="AN378"/>
  <c r="AN376"/>
  <c r="AN374"/>
  <c r="AN372"/>
  <c r="AN370"/>
  <c r="AN368"/>
  <c r="AN366"/>
  <c r="AN364"/>
  <c r="AN362"/>
  <c r="AN360"/>
  <c r="AN358"/>
  <c r="AN356"/>
  <c r="AN354"/>
  <c r="AN352"/>
  <c r="AN350"/>
  <c r="AN348"/>
  <c r="AN346"/>
  <c r="AN344"/>
  <c r="AN342"/>
  <c r="AN340"/>
  <c r="AN338"/>
  <c r="AN336"/>
  <c r="AN334"/>
  <c r="AN332"/>
  <c r="AN330"/>
  <c r="AN328"/>
  <c r="AN326"/>
  <c r="AN324"/>
  <c r="AN322"/>
  <c r="AN320"/>
  <c r="AN318"/>
  <c r="AN316"/>
  <c r="AN314"/>
  <c r="AN312"/>
  <c r="AN310"/>
  <c r="AN308"/>
  <c r="AN306"/>
  <c r="AN304"/>
  <c r="AN302"/>
  <c r="AN300"/>
  <c r="AN298"/>
  <c r="AN296"/>
  <c r="AN294"/>
  <c r="AN292"/>
  <c r="AN290"/>
  <c r="AN288"/>
  <c r="AN286"/>
  <c r="AN284"/>
  <c r="AN282"/>
  <c r="AN280"/>
  <c r="AN278"/>
  <c r="AN276"/>
  <c r="AN274"/>
  <c r="AN272"/>
  <c r="AN270"/>
  <c r="AN268"/>
  <c r="AN266"/>
  <c r="AN264"/>
  <c r="AN262"/>
  <c r="AN260"/>
  <c r="AN258"/>
  <c r="AN256"/>
  <c r="AN254"/>
  <c r="AN252"/>
  <c r="AN250"/>
  <c r="AN248"/>
  <c r="AN246"/>
  <c r="AN244"/>
  <c r="AN242"/>
  <c r="AN240"/>
  <c r="AN238"/>
  <c r="AN236"/>
  <c r="AN234"/>
  <c r="AN232"/>
  <c r="AN230"/>
  <c r="AN228"/>
  <c r="AN226"/>
  <c r="AN224"/>
  <c r="AN222"/>
  <c r="AN220"/>
  <c r="AN218"/>
  <c r="AN216"/>
  <c r="AN214"/>
  <c r="AN212"/>
  <c r="AN210"/>
  <c r="AN208"/>
  <c r="AN206"/>
  <c r="AN204"/>
  <c r="AN202"/>
  <c r="AN200"/>
  <c r="AN198"/>
  <c r="AN196"/>
  <c r="AN194"/>
  <c r="AN192"/>
  <c r="AN190"/>
  <c r="AN188"/>
  <c r="AN186"/>
  <c r="AN184"/>
  <c r="AN182"/>
  <c r="AN180"/>
  <c r="AN178"/>
  <c r="AN176"/>
  <c r="AN174"/>
  <c r="AN172"/>
  <c r="AN170"/>
  <c r="AN168"/>
  <c r="AN166"/>
  <c r="AN164"/>
  <c r="AN162"/>
  <c r="AN160"/>
  <c r="AN158"/>
  <c r="AN156"/>
  <c r="AN154"/>
  <c r="AN152"/>
  <c r="AN150"/>
  <c r="AN148"/>
  <c r="AN146"/>
  <c r="AN144"/>
  <c r="AN142"/>
  <c r="AN140"/>
  <c r="AN138"/>
  <c r="AN136"/>
  <c r="AN134"/>
  <c r="AN132"/>
  <c r="AN130"/>
  <c r="AN128"/>
  <c r="AN126"/>
  <c r="AN124"/>
  <c r="AN122"/>
  <c r="AN120"/>
  <c r="AN118"/>
  <c r="AN116"/>
  <c r="AN114"/>
  <c r="AN112"/>
  <c r="AN110"/>
  <c r="AN108"/>
  <c r="AN106"/>
  <c r="AN104"/>
  <c r="AN102"/>
  <c r="AN100"/>
  <c r="AN98"/>
  <c r="AN96"/>
  <c r="AN94"/>
  <c r="AN92"/>
  <c r="AN90"/>
  <c r="AN88"/>
  <c r="AN86"/>
  <c r="AN84"/>
  <c r="AN82"/>
  <c r="AN80"/>
  <c r="AN78"/>
  <c r="AN76"/>
  <c r="AN74"/>
  <c r="AN72"/>
  <c r="AN70"/>
  <c r="AN68"/>
  <c r="AN66"/>
  <c r="AN62"/>
  <c r="AN60"/>
  <c r="AN58"/>
  <c r="AN56"/>
  <c r="AN52"/>
  <c r="AN50"/>
  <c r="AN48"/>
  <c r="AN46"/>
  <c r="AN42"/>
  <c r="AN40"/>
  <c r="AN38"/>
  <c r="AN36"/>
  <c r="AN34"/>
  <c r="AN32"/>
  <c r="AN30"/>
  <c r="AN28"/>
  <c r="AN26"/>
  <c r="AN24"/>
  <c r="AN22"/>
  <c r="AN18"/>
  <c r="AN21"/>
  <c r="H4" i="3"/>
  <c r="AN513" i="2"/>
  <c r="AN511"/>
  <c r="AN509"/>
  <c r="AN507"/>
  <c r="AN505"/>
  <c r="AN503"/>
  <c r="AN501"/>
  <c r="AN499"/>
  <c r="AN497"/>
  <c r="AN495"/>
  <c r="AN493"/>
  <c r="AN491"/>
  <c r="AN489"/>
  <c r="AN487"/>
  <c r="AN485"/>
  <c r="AN483"/>
  <c r="AN481"/>
  <c r="AN479"/>
  <c r="AN477"/>
  <c r="AN475"/>
  <c r="AN473"/>
  <c r="AN471"/>
  <c r="AN469"/>
  <c r="AN467"/>
  <c r="AN465"/>
  <c r="AN463"/>
  <c r="AN461"/>
  <c r="AN459"/>
  <c r="AN457"/>
  <c r="AN455"/>
  <c r="AN453"/>
  <c r="AN451"/>
  <c r="AN449"/>
  <c r="AN447"/>
  <c r="AN445"/>
  <c r="AN443"/>
  <c r="AN441"/>
  <c r="AN439"/>
  <c r="AN437"/>
  <c r="AN435"/>
  <c r="AN433"/>
  <c r="AN431"/>
  <c r="AN429"/>
  <c r="AN427"/>
  <c r="AN425"/>
  <c r="AN423"/>
  <c r="AN421"/>
  <c r="AN419"/>
  <c r="AN417"/>
  <c r="AN415"/>
  <c r="AN413"/>
  <c r="AN411"/>
  <c r="AN409"/>
  <c r="AN407"/>
  <c r="AN405"/>
  <c r="AN403"/>
  <c r="AN401"/>
  <c r="AN399"/>
  <c r="AN397"/>
  <c r="AN395"/>
  <c r="AN393"/>
  <c r="AN391"/>
  <c r="AN389"/>
  <c r="AN387"/>
  <c r="AN385"/>
  <c r="AN383"/>
  <c r="AN381"/>
  <c r="AN379"/>
  <c r="AN377"/>
  <c r="AN375"/>
  <c r="AN373"/>
  <c r="AN371"/>
  <c r="AN369"/>
  <c r="AN367"/>
  <c r="AN365"/>
  <c r="AN363"/>
  <c r="AN361"/>
  <c r="AN359"/>
  <c r="AN357"/>
  <c r="AN355"/>
  <c r="AN353"/>
  <c r="AN351"/>
  <c r="AN349"/>
  <c r="AN347"/>
  <c r="AN345"/>
  <c r="AN343"/>
  <c r="AN341"/>
  <c r="AN339"/>
  <c r="AN337"/>
  <c r="AN335"/>
  <c r="AN333"/>
  <c r="AN331"/>
  <c r="AN329"/>
  <c r="AN327"/>
  <c r="AN325"/>
  <c r="AN323"/>
  <c r="AN321"/>
  <c r="AN319"/>
  <c r="AN317"/>
  <c r="AN315"/>
  <c r="AN313"/>
  <c r="AN311"/>
  <c r="AN309"/>
  <c r="AN307"/>
  <c r="AN305"/>
  <c r="AN303"/>
  <c r="AN301"/>
  <c r="AN299"/>
  <c r="AN297"/>
  <c r="AN295"/>
  <c r="AN293"/>
  <c r="AN291"/>
  <c r="AN289"/>
  <c r="AN287"/>
  <c r="AN285"/>
  <c r="AN283"/>
  <c r="AN281"/>
  <c r="AN279"/>
  <c r="AN277"/>
  <c r="AN275"/>
  <c r="AN273"/>
  <c r="AN271"/>
  <c r="AN269"/>
  <c r="AN267"/>
  <c r="AN265"/>
  <c r="AN263"/>
  <c r="AN261"/>
  <c r="AN259"/>
  <c r="AN257"/>
  <c r="AN255"/>
  <c r="AN253"/>
  <c r="AN251"/>
  <c r="AN249"/>
  <c r="AN247"/>
  <c r="AN245"/>
  <c r="AN243"/>
  <c r="AN241"/>
  <c r="AN239"/>
  <c r="AN237"/>
  <c r="AN235"/>
  <c r="AN233"/>
  <c r="AN231"/>
  <c r="AN229"/>
  <c r="AN227"/>
  <c r="AN225"/>
  <c r="AN223"/>
  <c r="AN221"/>
  <c r="AN219"/>
  <c r="AN217"/>
  <c r="AN215"/>
  <c r="AN213"/>
  <c r="AN211"/>
  <c r="AN209"/>
  <c r="AN207"/>
  <c r="AN205"/>
  <c r="AN203"/>
  <c r="AN201"/>
  <c r="AN199"/>
  <c r="AN197"/>
  <c r="AN195"/>
  <c r="AN193"/>
  <c r="AN191"/>
  <c r="AN189"/>
  <c r="AN187"/>
  <c r="AN185"/>
  <c r="AN183"/>
  <c r="AN181"/>
  <c r="AN179"/>
  <c r="AN177"/>
  <c r="AN175"/>
  <c r="AN173"/>
  <c r="AN171"/>
  <c r="AN169"/>
  <c r="AN167"/>
  <c r="AN165"/>
  <c r="AN163"/>
  <c r="AN161"/>
  <c r="AN159"/>
  <c r="AN157"/>
  <c r="AN155"/>
  <c r="AN153"/>
  <c r="AN151"/>
  <c r="AN149"/>
  <c r="AN147"/>
  <c r="AN145"/>
  <c r="AN143"/>
  <c r="AN141"/>
  <c r="AN139"/>
  <c r="AN137"/>
  <c r="AN135"/>
  <c r="AN133"/>
  <c r="AN131"/>
  <c r="AN129"/>
  <c r="AN127"/>
  <c r="AN125"/>
  <c r="AN123"/>
  <c r="AN121"/>
  <c r="AN119"/>
  <c r="AN117"/>
  <c r="AN115"/>
  <c r="AN113"/>
  <c r="AN111"/>
  <c r="AN109"/>
  <c r="AN107"/>
  <c r="AN105"/>
  <c r="AN103"/>
  <c r="AN101"/>
  <c r="AN99"/>
  <c r="AN97"/>
  <c r="AN95"/>
  <c r="AN93"/>
  <c r="AN91"/>
  <c r="AN89"/>
  <c r="AN87"/>
  <c r="AN85"/>
  <c r="AN83"/>
  <c r="AN81"/>
  <c r="AN79"/>
  <c r="AN75"/>
  <c r="AN73"/>
  <c r="AN71"/>
  <c r="AN69"/>
  <c r="AN67"/>
  <c r="AN65"/>
  <c r="AN61"/>
  <c r="AN59"/>
  <c r="AN57"/>
  <c r="AN55"/>
  <c r="AN53"/>
  <c r="AN51"/>
  <c r="AN49"/>
  <c r="AN47"/>
  <c r="AN45"/>
  <c r="AN43"/>
  <c r="AN41"/>
  <c r="AN37"/>
  <c r="AN35"/>
  <c r="AN33"/>
  <c r="AN31"/>
  <c r="AN29"/>
  <c r="AN27"/>
  <c r="AN25"/>
  <c r="L17"/>
  <c r="M17" s="1"/>
  <c r="AH17" s="1"/>
  <c r="L19"/>
  <c r="M19" s="1"/>
  <c r="AH19" s="1"/>
  <c r="L21"/>
  <c r="M21" s="1"/>
  <c r="AH21" s="1"/>
  <c r="L23"/>
  <c r="M23" s="1"/>
  <c r="AH23" s="1"/>
  <c r="L25"/>
  <c r="M25" s="1"/>
  <c r="AH25" s="1"/>
  <c r="L27"/>
  <c r="M27" s="1"/>
  <c r="AH27" s="1"/>
  <c r="L29"/>
  <c r="M29" s="1"/>
  <c r="AH29" s="1"/>
  <c r="L31"/>
  <c r="M31" s="1"/>
  <c r="AH31" s="1"/>
  <c r="L33"/>
  <c r="M33" s="1"/>
  <c r="AH33" s="1"/>
  <c r="L35"/>
  <c r="M35" s="1"/>
  <c r="AH35" s="1"/>
  <c r="L37"/>
  <c r="M37" s="1"/>
  <c r="AH37" s="1"/>
  <c r="L39"/>
  <c r="M39" s="1"/>
  <c r="AH39" s="1"/>
  <c r="L15"/>
  <c r="M15" s="1"/>
  <c r="AH15" s="1"/>
  <c r="L16"/>
  <c r="M16" s="1"/>
  <c r="AH16" s="1"/>
  <c r="L18"/>
  <c r="M18" s="1"/>
  <c r="AH18" s="1"/>
  <c r="L20"/>
  <c r="M20" s="1"/>
  <c r="AH20" s="1"/>
  <c r="L22"/>
  <c r="M22" s="1"/>
  <c r="AH22" s="1"/>
  <c r="L24"/>
  <c r="M24" s="1"/>
  <c r="AH24" s="1"/>
  <c r="L26"/>
  <c r="M26" s="1"/>
  <c r="AH26" s="1"/>
  <c r="L28"/>
  <c r="M28" s="1"/>
  <c r="AH28" s="1"/>
  <c r="L30"/>
  <c r="M30" s="1"/>
  <c r="AH30" s="1"/>
  <c r="L32"/>
  <c r="M32" s="1"/>
  <c r="AH32" s="1"/>
  <c r="L34"/>
  <c r="M34" s="1"/>
  <c r="AH34" s="1"/>
  <c r="L36"/>
  <c r="M36" s="1"/>
  <c r="AH36" s="1"/>
  <c r="L38"/>
  <c r="M38" s="1"/>
  <c r="AH38" s="1"/>
  <c r="L40"/>
  <c r="M40" s="1"/>
  <c r="Q17"/>
  <c r="R17" s="1"/>
  <c r="AE17" s="1"/>
  <c r="Q19"/>
  <c r="R19" s="1"/>
  <c r="AE19" s="1"/>
  <c r="Q21"/>
  <c r="R21" s="1"/>
  <c r="AE21" s="1"/>
  <c r="Q23"/>
  <c r="R23" s="1"/>
  <c r="AE23" s="1"/>
  <c r="Q25"/>
  <c r="R25" s="1"/>
  <c r="AE25" s="1"/>
  <c r="Q27"/>
  <c r="R27" s="1"/>
  <c r="AE27" s="1"/>
  <c r="Q29"/>
  <c r="R29" s="1"/>
  <c r="AE29" s="1"/>
  <c r="Q31"/>
  <c r="R31" s="1"/>
  <c r="AE31" s="1"/>
  <c r="Q33"/>
  <c r="R33" s="1"/>
  <c r="AE33" s="1"/>
  <c r="Q35"/>
  <c r="R35" s="1"/>
  <c r="AE35" s="1"/>
  <c r="Q37"/>
  <c r="R37" s="1"/>
  <c r="AE37" s="1"/>
  <c r="Q39"/>
  <c r="R39" s="1"/>
  <c r="AE39" s="1"/>
  <c r="Q15"/>
  <c r="R15" s="1"/>
  <c r="AE15" s="1"/>
  <c r="Q16"/>
  <c r="R16" s="1"/>
  <c r="AE16" s="1"/>
  <c r="Q18"/>
  <c r="R18" s="1"/>
  <c r="AE18" s="1"/>
  <c r="Q20"/>
  <c r="R20" s="1"/>
  <c r="AE20" s="1"/>
  <c r="Q22"/>
  <c r="R22" s="1"/>
  <c r="AE22" s="1"/>
  <c r="Q24"/>
  <c r="R24" s="1"/>
  <c r="AE24" s="1"/>
  <c r="Q26"/>
  <c r="R26" s="1"/>
  <c r="AE26" s="1"/>
  <c r="Q28"/>
  <c r="R28" s="1"/>
  <c r="AE28" s="1"/>
  <c r="Q30"/>
  <c r="R30" s="1"/>
  <c r="AE30" s="1"/>
  <c r="Q32"/>
  <c r="R32" s="1"/>
  <c r="AE32" s="1"/>
  <c r="Q34"/>
  <c r="R34" s="1"/>
  <c r="AE34" s="1"/>
  <c r="Q36"/>
  <c r="Q38"/>
  <c r="R38" s="1"/>
  <c r="AE38" s="1"/>
  <c r="Q40"/>
  <c r="R40" s="1"/>
  <c r="AE40" s="1"/>
  <c r="V39"/>
  <c r="W39" s="1"/>
  <c r="AB39" s="1"/>
  <c r="V37"/>
  <c r="W37" s="1"/>
  <c r="AB37" s="1"/>
  <c r="V35"/>
  <c r="W35" s="1"/>
  <c r="AB35" s="1"/>
  <c r="V33"/>
  <c r="W33" s="1"/>
  <c r="AB33" s="1"/>
  <c r="V31"/>
  <c r="W31" s="1"/>
  <c r="AB31" s="1"/>
  <c r="V29"/>
  <c r="W29" s="1"/>
  <c r="AB29" s="1"/>
  <c r="V27"/>
  <c r="W27" s="1"/>
  <c r="AB27" s="1"/>
  <c r="V25"/>
  <c r="W25" s="1"/>
  <c r="AB25" s="1"/>
  <c r="V23"/>
  <c r="W23" s="1"/>
  <c r="AB23" s="1"/>
  <c r="V21"/>
  <c r="W21" s="1"/>
  <c r="AB21" s="1"/>
  <c r="V19"/>
  <c r="W19" s="1"/>
  <c r="AB19" s="1"/>
  <c r="V17"/>
  <c r="W17" s="1"/>
  <c r="AB17" s="1"/>
  <c r="V15"/>
  <c r="V40"/>
  <c r="W40" s="1"/>
  <c r="AB40" s="1"/>
  <c r="V38"/>
  <c r="W38" s="1"/>
  <c r="AB38" s="1"/>
  <c r="V36"/>
  <c r="W36" s="1"/>
  <c r="AB36" s="1"/>
  <c r="V34"/>
  <c r="W34" s="1"/>
  <c r="AB34" s="1"/>
  <c r="V32"/>
  <c r="W32" s="1"/>
  <c r="AB32" s="1"/>
  <c r="V30"/>
  <c r="W30" s="1"/>
  <c r="AB30" s="1"/>
  <c r="V28"/>
  <c r="W28" s="1"/>
  <c r="AB28" s="1"/>
  <c r="V26"/>
  <c r="W26" s="1"/>
  <c r="AB26" s="1"/>
  <c r="V24"/>
  <c r="W24" s="1"/>
  <c r="AB24" s="1"/>
  <c r="V22"/>
  <c r="W22" s="1"/>
  <c r="AB22" s="1"/>
  <c r="V20"/>
  <c r="W20" s="1"/>
  <c r="AB20" s="1"/>
  <c r="V18"/>
  <c r="W18" s="1"/>
  <c r="AB18" s="1"/>
  <c r="V16"/>
  <c r="W16" s="1"/>
  <c r="AB16" s="1"/>
  <c r="W15"/>
  <c r="AB15" s="1"/>
  <c r="R36"/>
  <c r="AE36" s="1"/>
  <c r="E8"/>
  <c r="H17" i="3"/>
  <c r="AN39" i="2" s="1"/>
  <c r="H9" i="3"/>
  <c r="AN64" i="2" s="1"/>
  <c r="H11" i="3"/>
  <c r="H16"/>
  <c r="AN20" i="2" s="1"/>
  <c r="D15"/>
  <c r="E15" s="1"/>
  <c r="AN77" l="1"/>
  <c r="AN54"/>
  <c r="AN63"/>
  <c r="AN44"/>
  <c r="AN15"/>
  <c r="AO15" s="1"/>
  <c r="AO16" s="1"/>
  <c r="AO17" s="1"/>
  <c r="AO18" s="1"/>
  <c r="AO19" s="1"/>
  <c r="AO20" s="1"/>
  <c r="AO21" s="1"/>
  <c r="AO22" s="1"/>
  <c r="AO23" s="1"/>
  <c r="AO24" s="1"/>
  <c r="AO25" s="1"/>
  <c r="AO26" s="1"/>
  <c r="AO27" s="1"/>
  <c r="AO28" s="1"/>
  <c r="AO29" s="1"/>
  <c r="AO30" s="1"/>
  <c r="AO31" s="1"/>
  <c r="AO32" s="1"/>
  <c r="AO33" s="1"/>
  <c r="AO34" s="1"/>
  <c r="AO35" s="1"/>
  <c r="AO36" s="1"/>
  <c r="AO37" s="1"/>
  <c r="AO38" s="1"/>
  <c r="AO39" s="1"/>
  <c r="AO40" s="1"/>
  <c r="AO41" s="1"/>
  <c r="AO42" s="1"/>
  <c r="AO43" s="1"/>
  <c r="N10"/>
  <c r="S10" s="1"/>
  <c r="X10" s="1"/>
  <c r="AA10" s="1"/>
  <c r="AD10" s="1"/>
  <c r="AG10" s="1"/>
  <c r="AH40"/>
  <c r="E16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1" s="1"/>
  <c r="E102" s="1"/>
  <c r="E103" s="1"/>
  <c r="E104" s="1"/>
  <c r="E105" s="1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E202" s="1"/>
  <c r="E203" s="1"/>
  <c r="E204" s="1"/>
  <c r="E205" s="1"/>
  <c r="E206" s="1"/>
  <c r="E207" s="1"/>
  <c r="E208" s="1"/>
  <c r="E209" s="1"/>
  <c r="E210" s="1"/>
  <c r="E211" s="1"/>
  <c r="E212" s="1"/>
  <c r="E213" s="1"/>
  <c r="E214" s="1"/>
  <c r="E215" s="1"/>
  <c r="E216" s="1"/>
  <c r="E217" s="1"/>
  <c r="E218" s="1"/>
  <c r="E219" s="1"/>
  <c r="E220" s="1"/>
  <c r="E221" s="1"/>
  <c r="E222" s="1"/>
  <c r="E223" s="1"/>
  <c r="E224" s="1"/>
  <c r="E225" s="1"/>
  <c r="E226" s="1"/>
  <c r="E227" s="1"/>
  <c r="E228" s="1"/>
  <c r="E229" s="1"/>
  <c r="E230" s="1"/>
  <c r="E231" s="1"/>
  <c r="E232" s="1"/>
  <c r="E233" s="1"/>
  <c r="E234" s="1"/>
  <c r="E235" s="1"/>
  <c r="E236" s="1"/>
  <c r="E237" s="1"/>
  <c r="E238" s="1"/>
  <c r="E239" s="1"/>
  <c r="E240" s="1"/>
  <c r="E241" s="1"/>
  <c r="E242" s="1"/>
  <c r="E243" s="1"/>
  <c r="E244" s="1"/>
  <c r="E245" s="1"/>
  <c r="E246" s="1"/>
  <c r="E247" s="1"/>
  <c r="E248" s="1"/>
  <c r="E249" s="1"/>
  <c r="E250" s="1"/>
  <c r="E251" s="1"/>
  <c r="E252" s="1"/>
  <c r="E253" s="1"/>
  <c r="E254" s="1"/>
  <c r="E255" s="1"/>
  <c r="E256" s="1"/>
  <c r="E257" s="1"/>
  <c r="E258" s="1"/>
  <c r="E259" s="1"/>
  <c r="E260" s="1"/>
  <c r="E261" s="1"/>
  <c r="E262" s="1"/>
  <c r="E263" s="1"/>
  <c r="E264" s="1"/>
  <c r="E265" s="1"/>
  <c r="E266" s="1"/>
  <c r="E267" s="1"/>
  <c r="E268" s="1"/>
  <c r="E269" s="1"/>
  <c r="E270" s="1"/>
  <c r="E271" s="1"/>
  <c r="E272" s="1"/>
  <c r="E273" s="1"/>
  <c r="E274" s="1"/>
  <c r="E275" s="1"/>
  <c r="E276" s="1"/>
  <c r="E277" s="1"/>
  <c r="E278" s="1"/>
  <c r="E279" s="1"/>
  <c r="E280" s="1"/>
  <c r="E281" s="1"/>
  <c r="E282" s="1"/>
  <c r="E283" s="1"/>
  <c r="E284" s="1"/>
  <c r="E285" s="1"/>
  <c r="E286" s="1"/>
  <c r="E287" s="1"/>
  <c r="E288" s="1"/>
  <c r="E289" s="1"/>
  <c r="E290" s="1"/>
  <c r="E291" s="1"/>
  <c r="E292" s="1"/>
  <c r="E293" s="1"/>
  <c r="E294" s="1"/>
  <c r="E295" s="1"/>
  <c r="E296" s="1"/>
  <c r="E297" s="1"/>
  <c r="E298" s="1"/>
  <c r="E299" s="1"/>
  <c r="E300" s="1"/>
  <c r="E301" s="1"/>
  <c r="E302" s="1"/>
  <c r="E303" s="1"/>
  <c r="E304" s="1"/>
  <c r="E305" s="1"/>
  <c r="E306" s="1"/>
  <c r="E307" s="1"/>
  <c r="E308" s="1"/>
  <c r="E309" s="1"/>
  <c r="E310" s="1"/>
  <c r="E311" s="1"/>
  <c r="E312" s="1"/>
  <c r="E313" s="1"/>
  <c r="E314" s="1"/>
  <c r="E315" s="1"/>
  <c r="E316" s="1"/>
  <c r="E317" s="1"/>
  <c r="E318" s="1"/>
  <c r="E319" s="1"/>
  <c r="E320" s="1"/>
  <c r="E321" s="1"/>
  <c r="E322" s="1"/>
  <c r="E323" s="1"/>
  <c r="E324" s="1"/>
  <c r="E325" s="1"/>
  <c r="E326" s="1"/>
  <c r="E327" s="1"/>
  <c r="E328" s="1"/>
  <c r="E329" s="1"/>
  <c r="E330" s="1"/>
  <c r="E331" s="1"/>
  <c r="E332" s="1"/>
  <c r="E333" s="1"/>
  <c r="E334" s="1"/>
  <c r="E335" s="1"/>
  <c r="E336" s="1"/>
  <c r="E337" s="1"/>
  <c r="E338" s="1"/>
  <c r="E339" s="1"/>
  <c r="E340" s="1"/>
  <c r="E341" s="1"/>
  <c r="E342" s="1"/>
  <c r="E343" s="1"/>
  <c r="E344" s="1"/>
  <c r="E345" s="1"/>
  <c r="E346" s="1"/>
  <c r="E347" s="1"/>
  <c r="E348" s="1"/>
  <c r="E349" s="1"/>
  <c r="E350" s="1"/>
  <c r="E351" s="1"/>
  <c r="E352" s="1"/>
  <c r="E353" s="1"/>
  <c r="E354" s="1"/>
  <c r="E355" s="1"/>
  <c r="E356" s="1"/>
  <c r="E357" s="1"/>
  <c r="E358" s="1"/>
  <c r="E359" s="1"/>
  <c r="E360" s="1"/>
  <c r="E361" s="1"/>
  <c r="E362" s="1"/>
  <c r="E363" s="1"/>
  <c r="E364" s="1"/>
  <c r="E365" s="1"/>
  <c r="E366" s="1"/>
  <c r="E367" s="1"/>
  <c r="E368" s="1"/>
  <c r="E369" s="1"/>
  <c r="E370" s="1"/>
  <c r="E371" s="1"/>
  <c r="E372" s="1"/>
  <c r="E373" s="1"/>
  <c r="E374" s="1"/>
  <c r="E375" s="1"/>
  <c r="E376" s="1"/>
  <c r="E377" s="1"/>
  <c r="E378" s="1"/>
  <c r="E379" s="1"/>
  <c r="E380" s="1"/>
  <c r="E381" s="1"/>
  <c r="E382" s="1"/>
  <c r="E383" s="1"/>
  <c r="E384" s="1"/>
  <c r="E385" s="1"/>
  <c r="E386" s="1"/>
  <c r="E387" s="1"/>
  <c r="E388" s="1"/>
  <c r="E389" s="1"/>
  <c r="E390" s="1"/>
  <c r="E391" s="1"/>
  <c r="E392" s="1"/>
  <c r="E393" s="1"/>
  <c r="E394" s="1"/>
  <c r="E395" s="1"/>
  <c r="E396" s="1"/>
  <c r="E397" s="1"/>
  <c r="E398" s="1"/>
  <c r="E399" s="1"/>
  <c r="E400" s="1"/>
  <c r="E401" s="1"/>
  <c r="E402" s="1"/>
  <c r="E403" s="1"/>
  <c r="E404" s="1"/>
  <c r="E405" s="1"/>
  <c r="E406" s="1"/>
  <c r="E407" s="1"/>
  <c r="E408" s="1"/>
  <c r="E409" s="1"/>
  <c r="E410" s="1"/>
  <c r="E411" s="1"/>
  <c r="E412" s="1"/>
  <c r="E413" s="1"/>
  <c r="E414" s="1"/>
  <c r="E415" s="1"/>
  <c r="E416" s="1"/>
  <c r="E417" s="1"/>
  <c r="E418" s="1"/>
  <c r="E419" s="1"/>
  <c r="E420" s="1"/>
  <c r="E421" s="1"/>
  <c r="E422" s="1"/>
  <c r="E423" s="1"/>
  <c r="E424" s="1"/>
  <c r="E425" s="1"/>
  <c r="E426" s="1"/>
  <c r="E427" s="1"/>
  <c r="E428" s="1"/>
  <c r="E429" s="1"/>
  <c r="E430" s="1"/>
  <c r="E431" s="1"/>
  <c r="E432" s="1"/>
  <c r="E433" s="1"/>
  <c r="E434" s="1"/>
  <c r="E435" s="1"/>
  <c r="E436" s="1"/>
  <c r="E437" s="1"/>
  <c r="E438" s="1"/>
  <c r="E439" s="1"/>
  <c r="E440" s="1"/>
  <c r="E441" s="1"/>
  <c r="E442" s="1"/>
  <c r="E443" s="1"/>
  <c r="E444" s="1"/>
  <c r="E445" s="1"/>
  <c r="E446" s="1"/>
  <c r="E447" s="1"/>
  <c r="E448" s="1"/>
  <c r="E449" s="1"/>
  <c r="E450" s="1"/>
  <c r="E451" s="1"/>
  <c r="E452" s="1"/>
  <c r="E453" s="1"/>
  <c r="E454" s="1"/>
  <c r="E455" s="1"/>
  <c r="E456" s="1"/>
  <c r="E457" s="1"/>
  <c r="E458" s="1"/>
  <c r="E459" s="1"/>
  <c r="E460" s="1"/>
  <c r="E461" s="1"/>
  <c r="E462" s="1"/>
  <c r="E463" s="1"/>
  <c r="E464" s="1"/>
  <c r="E465" s="1"/>
  <c r="E466" s="1"/>
  <c r="E467" s="1"/>
  <c r="E468" s="1"/>
  <c r="E469" s="1"/>
  <c r="E470" s="1"/>
  <c r="E471" s="1"/>
  <c r="E472" s="1"/>
  <c r="E473" s="1"/>
  <c r="E474" s="1"/>
  <c r="E475" s="1"/>
  <c r="E476" s="1"/>
  <c r="E477" s="1"/>
  <c r="E478" s="1"/>
  <c r="E479" s="1"/>
  <c r="E480" s="1"/>
  <c r="E481" s="1"/>
  <c r="E482" s="1"/>
  <c r="E483" s="1"/>
  <c r="E484" s="1"/>
  <c r="E485" s="1"/>
  <c r="E486" s="1"/>
  <c r="E487" s="1"/>
  <c r="E488" s="1"/>
  <c r="E489" s="1"/>
  <c r="E490" s="1"/>
  <c r="E491" s="1"/>
  <c r="E492" s="1"/>
  <c r="E493" s="1"/>
  <c r="E494" s="1"/>
  <c r="E495" s="1"/>
  <c r="E496" s="1"/>
  <c r="E497" s="1"/>
  <c r="E498" s="1"/>
  <c r="E499" s="1"/>
  <c r="E500" s="1"/>
  <c r="E501" s="1"/>
  <c r="E502" s="1"/>
  <c r="E503" s="1"/>
  <c r="E504" s="1"/>
  <c r="E505" s="1"/>
  <c r="E506" s="1"/>
  <c r="E507" s="1"/>
  <c r="E508" s="1"/>
  <c r="E509" s="1"/>
  <c r="E510" s="1"/>
  <c r="E511" s="1"/>
  <c r="E512" s="1"/>
  <c r="E513" s="1"/>
  <c r="E514" s="1"/>
  <c r="F15"/>
  <c r="G15" s="1"/>
  <c r="AO44" l="1"/>
  <c r="AO45" s="1"/>
  <c r="AO46" s="1"/>
  <c r="AO47" s="1"/>
  <c r="AO48" s="1"/>
  <c r="AO49" s="1"/>
  <c r="AO50" s="1"/>
  <c r="AO51" s="1"/>
  <c r="AO52" s="1"/>
  <c r="AO53" s="1"/>
  <c r="AO54" s="1"/>
  <c r="AO55" s="1"/>
  <c r="AO56" s="1"/>
  <c r="AO57" s="1"/>
  <c r="AO58" s="1"/>
  <c r="AO59" s="1"/>
  <c r="AO60" s="1"/>
  <c r="AO61" s="1"/>
  <c r="AO62" s="1"/>
  <c r="AO63" s="1"/>
  <c r="AO64" s="1"/>
  <c r="AO65" s="1"/>
  <c r="AO66" s="1"/>
  <c r="AO67" s="1"/>
  <c r="AO68" s="1"/>
  <c r="AO69" s="1"/>
  <c r="AO70" s="1"/>
  <c r="AO71" s="1"/>
  <c r="AO72" s="1"/>
  <c r="AO73" s="1"/>
  <c r="AO74" s="1"/>
  <c r="AO75" s="1"/>
  <c r="AO76" s="1"/>
  <c r="AO77" s="1"/>
  <c r="AO78" s="1"/>
  <c r="AO79" s="1"/>
  <c r="AO80" s="1"/>
  <c r="AO81" s="1"/>
  <c r="AO82" s="1"/>
  <c r="AO83" s="1"/>
  <c r="AO84" s="1"/>
  <c r="AO85" s="1"/>
  <c r="AO86" s="1"/>
  <c r="AO87" s="1"/>
  <c r="AO88" s="1"/>
  <c r="AO89" s="1"/>
  <c r="AO90" s="1"/>
  <c r="AO91" s="1"/>
  <c r="AO92" s="1"/>
  <c r="AO93" s="1"/>
  <c r="AO94" s="1"/>
  <c r="AO95" s="1"/>
  <c r="AO96" s="1"/>
  <c r="AO97" s="1"/>
  <c r="AO98" s="1"/>
  <c r="AO99" s="1"/>
  <c r="AO100" s="1"/>
  <c r="AO101" s="1"/>
  <c r="AO102" s="1"/>
  <c r="AO103" s="1"/>
  <c r="AO104" s="1"/>
  <c r="AO105" s="1"/>
  <c r="AO106" s="1"/>
  <c r="AO107" s="1"/>
  <c r="AO108" s="1"/>
  <c r="AO109" s="1"/>
  <c r="AO110" s="1"/>
  <c r="AO111" s="1"/>
  <c r="AO112" s="1"/>
  <c r="AO113" s="1"/>
  <c r="AO114" s="1"/>
  <c r="AO115" s="1"/>
  <c r="AO116" s="1"/>
  <c r="AO117" s="1"/>
  <c r="AO118" s="1"/>
  <c r="AO119" s="1"/>
  <c r="AO120" s="1"/>
  <c r="AO121" s="1"/>
  <c r="AO122" s="1"/>
  <c r="AO123" s="1"/>
  <c r="AO124" s="1"/>
  <c r="AO125" s="1"/>
  <c r="AO126" s="1"/>
  <c r="AO127" s="1"/>
  <c r="AO128" s="1"/>
  <c r="AO129" s="1"/>
  <c r="AO130" s="1"/>
  <c r="AO131" s="1"/>
  <c r="AO132" s="1"/>
  <c r="AO133" s="1"/>
  <c r="AO134" s="1"/>
  <c r="AO135" s="1"/>
  <c r="AO136" s="1"/>
  <c r="AO137" s="1"/>
  <c r="AO138" s="1"/>
  <c r="AO139" s="1"/>
  <c r="AO140" s="1"/>
  <c r="AO141" s="1"/>
  <c r="AO142" s="1"/>
  <c r="AO143" s="1"/>
  <c r="AO144" s="1"/>
  <c r="AO145" s="1"/>
  <c r="AO146" s="1"/>
  <c r="AO147" s="1"/>
  <c r="AO148" s="1"/>
  <c r="AO149" s="1"/>
  <c r="AO150" s="1"/>
  <c r="AO151" s="1"/>
  <c r="AO152" s="1"/>
  <c r="AO153" s="1"/>
  <c r="AO154" s="1"/>
  <c r="AO155" s="1"/>
  <c r="AO156" s="1"/>
  <c r="AO157" s="1"/>
  <c r="AO158" s="1"/>
  <c r="AO159" s="1"/>
  <c r="AO160" s="1"/>
  <c r="AO161" s="1"/>
  <c r="AO162" s="1"/>
  <c r="AO163" s="1"/>
  <c r="AO164" s="1"/>
  <c r="AO165" s="1"/>
  <c r="AO166" s="1"/>
  <c r="AO167" s="1"/>
  <c r="AO168" s="1"/>
  <c r="AO169" s="1"/>
  <c r="AO170" s="1"/>
  <c r="AO171" s="1"/>
  <c r="AO172" s="1"/>
  <c r="AO173" s="1"/>
  <c r="AO174" s="1"/>
  <c r="AO175" s="1"/>
  <c r="AO176" s="1"/>
  <c r="AO177" s="1"/>
  <c r="AO178" s="1"/>
  <c r="AO179" s="1"/>
  <c r="AO180" s="1"/>
  <c r="AO181" s="1"/>
  <c r="AO182" s="1"/>
  <c r="AO183" s="1"/>
  <c r="AO184" s="1"/>
  <c r="AO185" s="1"/>
  <c r="AO186" s="1"/>
  <c r="AO187" s="1"/>
  <c r="AO188" s="1"/>
  <c r="AO189" s="1"/>
  <c r="AO190" s="1"/>
  <c r="AO191" s="1"/>
  <c r="AO192" s="1"/>
  <c r="AO193" s="1"/>
  <c r="AO194" s="1"/>
  <c r="AO195" s="1"/>
  <c r="AO196" s="1"/>
  <c r="AO197" s="1"/>
  <c r="AO198" s="1"/>
  <c r="AO199" s="1"/>
  <c r="AO200" s="1"/>
  <c r="AO201" s="1"/>
  <c r="AO202" s="1"/>
  <c r="AO203" s="1"/>
  <c r="AO204" s="1"/>
  <c r="AO205" s="1"/>
  <c r="AO206" s="1"/>
  <c r="AO207" s="1"/>
  <c r="AO208" s="1"/>
  <c r="AO209" s="1"/>
  <c r="AO210" s="1"/>
  <c r="AO211" s="1"/>
  <c r="AO212" s="1"/>
  <c r="AO213" s="1"/>
  <c r="AO214" s="1"/>
  <c r="AO215" s="1"/>
  <c r="AO216" s="1"/>
  <c r="AO217" s="1"/>
  <c r="AO218" s="1"/>
  <c r="AO219" s="1"/>
  <c r="AO220" s="1"/>
  <c r="AO221" s="1"/>
  <c r="AO222" s="1"/>
  <c r="AO223" s="1"/>
  <c r="AO224" s="1"/>
  <c r="AO225" s="1"/>
  <c r="AO226" s="1"/>
  <c r="AO227" s="1"/>
  <c r="AO228" s="1"/>
  <c r="AO229" s="1"/>
  <c r="AO230" s="1"/>
  <c r="AO231" s="1"/>
  <c r="AO232" s="1"/>
  <c r="AO233" s="1"/>
  <c r="AO234" s="1"/>
  <c r="AO235" s="1"/>
  <c r="AO236" s="1"/>
  <c r="AO237" s="1"/>
  <c r="AO238" s="1"/>
  <c r="AO239" s="1"/>
  <c r="AO240" s="1"/>
  <c r="AO241" s="1"/>
  <c r="AO242" s="1"/>
  <c r="AO243" s="1"/>
  <c r="AO244" s="1"/>
  <c r="AO245" s="1"/>
  <c r="AO246" s="1"/>
  <c r="AO247" s="1"/>
  <c r="AO248" s="1"/>
  <c r="AO249" s="1"/>
  <c r="AO250" s="1"/>
  <c r="AO251" s="1"/>
  <c r="AO252" s="1"/>
  <c r="AO253" s="1"/>
  <c r="AO254" s="1"/>
  <c r="AO255" s="1"/>
  <c r="AO256" s="1"/>
  <c r="AO257" s="1"/>
  <c r="AO258" s="1"/>
  <c r="AO259" s="1"/>
  <c r="AO260" s="1"/>
  <c r="AO261" s="1"/>
  <c r="AO262" s="1"/>
  <c r="AO263" s="1"/>
  <c r="AO264" s="1"/>
  <c r="AO265" s="1"/>
  <c r="AO266" s="1"/>
  <c r="AO267" s="1"/>
  <c r="AO268" s="1"/>
  <c r="AO269" s="1"/>
  <c r="AO270" s="1"/>
  <c r="AO271" s="1"/>
  <c r="AO272" s="1"/>
  <c r="AO273" s="1"/>
  <c r="AO274" s="1"/>
  <c r="AO275" s="1"/>
  <c r="AO276" s="1"/>
  <c r="AO277" s="1"/>
  <c r="AO278" s="1"/>
  <c r="AO279" s="1"/>
  <c r="AO280" s="1"/>
  <c r="AO281" s="1"/>
  <c r="AO282" s="1"/>
  <c r="AO283" s="1"/>
  <c r="AO284" s="1"/>
  <c r="AO285" s="1"/>
  <c r="AO286" s="1"/>
  <c r="AO287" s="1"/>
  <c r="AO288" s="1"/>
  <c r="AO289" s="1"/>
  <c r="AO290" s="1"/>
  <c r="AO291" s="1"/>
  <c r="AO292" s="1"/>
  <c r="AO293" s="1"/>
  <c r="AO294" s="1"/>
  <c r="AO295" s="1"/>
  <c r="AO296" s="1"/>
  <c r="AO297" s="1"/>
  <c r="AO298" s="1"/>
  <c r="AO299" s="1"/>
  <c r="AO300" s="1"/>
  <c r="AO301" s="1"/>
  <c r="AO302" s="1"/>
  <c r="AO303" s="1"/>
  <c r="AO304" s="1"/>
  <c r="AO305" s="1"/>
  <c r="AO306" s="1"/>
  <c r="AO307" s="1"/>
  <c r="AO308" s="1"/>
  <c r="AO309" s="1"/>
  <c r="AO310" s="1"/>
  <c r="AO311" s="1"/>
  <c r="AO312" s="1"/>
  <c r="AO313" s="1"/>
  <c r="AO314" s="1"/>
  <c r="AO315" s="1"/>
  <c r="AO316" s="1"/>
  <c r="AO317" s="1"/>
  <c r="AO318" s="1"/>
  <c r="AO319" s="1"/>
  <c r="AO320" s="1"/>
  <c r="AO321" s="1"/>
  <c r="AO322" s="1"/>
  <c r="AO323" s="1"/>
  <c r="AO324" s="1"/>
  <c r="AO325" s="1"/>
  <c r="AO326" s="1"/>
  <c r="AO327" s="1"/>
  <c r="AO328" s="1"/>
  <c r="AO329" s="1"/>
  <c r="AO330" s="1"/>
  <c r="AO331" s="1"/>
  <c r="AO332" s="1"/>
  <c r="AO333" s="1"/>
  <c r="AO334" s="1"/>
  <c r="AO335" s="1"/>
  <c r="AO336" s="1"/>
  <c r="AO337" s="1"/>
  <c r="AO338" s="1"/>
  <c r="AO339" s="1"/>
  <c r="AO340" s="1"/>
  <c r="AO341" s="1"/>
  <c r="AO342" s="1"/>
  <c r="AO343" s="1"/>
  <c r="AO344" s="1"/>
  <c r="AO345" s="1"/>
  <c r="AO346" s="1"/>
  <c r="AO347" s="1"/>
  <c r="AO348" s="1"/>
  <c r="AO349" s="1"/>
  <c r="AO350" s="1"/>
  <c r="AO351" s="1"/>
  <c r="AO352" s="1"/>
  <c r="AO353" s="1"/>
  <c r="AO354" s="1"/>
  <c r="AO355" s="1"/>
  <c r="AO356" s="1"/>
  <c r="AO357" s="1"/>
  <c r="AO358" s="1"/>
  <c r="AO359" s="1"/>
  <c r="AO360" s="1"/>
  <c r="AO361" s="1"/>
  <c r="AO362" s="1"/>
  <c r="AO363" s="1"/>
  <c r="AO364" s="1"/>
  <c r="AO365" s="1"/>
  <c r="AO366" s="1"/>
  <c r="AO367" s="1"/>
  <c r="AO368" s="1"/>
  <c r="AO369" s="1"/>
  <c r="AO370" s="1"/>
  <c r="AO371" s="1"/>
  <c r="AO372" s="1"/>
  <c r="AO373" s="1"/>
  <c r="AO374" s="1"/>
  <c r="AO375" s="1"/>
  <c r="AO376" s="1"/>
  <c r="AO377" s="1"/>
  <c r="AO378" s="1"/>
  <c r="AO379" s="1"/>
  <c r="AO380" s="1"/>
  <c r="AO381" s="1"/>
  <c r="AO382" s="1"/>
  <c r="AO383" s="1"/>
  <c r="AO384" s="1"/>
  <c r="AO385" s="1"/>
  <c r="AO386" s="1"/>
  <c r="AO387" s="1"/>
  <c r="AO388" s="1"/>
  <c r="AO389" s="1"/>
  <c r="AO390" s="1"/>
  <c r="AO391" s="1"/>
  <c r="AO392" s="1"/>
  <c r="AO393" s="1"/>
  <c r="AO394" s="1"/>
  <c r="AO395" s="1"/>
  <c r="AO396" s="1"/>
  <c r="AO397" s="1"/>
  <c r="AO398" s="1"/>
  <c r="AO399" s="1"/>
  <c r="AO400" s="1"/>
  <c r="AO401" s="1"/>
  <c r="AO402" s="1"/>
  <c r="AO403" s="1"/>
  <c r="AO404" s="1"/>
  <c r="AO405" s="1"/>
  <c r="AO406" s="1"/>
  <c r="AO407" s="1"/>
  <c r="AO408" s="1"/>
  <c r="AO409" s="1"/>
  <c r="AO410" s="1"/>
  <c r="AO411" s="1"/>
  <c r="AO412" s="1"/>
  <c r="AO413" s="1"/>
  <c r="AO414" s="1"/>
  <c r="AO415" s="1"/>
  <c r="AO416" s="1"/>
  <c r="AO417" s="1"/>
  <c r="AO418" s="1"/>
  <c r="AO419" s="1"/>
  <c r="AO420" s="1"/>
  <c r="AO421" s="1"/>
  <c r="AO422" s="1"/>
  <c r="AO423" s="1"/>
  <c r="AO424" s="1"/>
  <c r="AO425" s="1"/>
  <c r="AO426" s="1"/>
  <c r="AO427" s="1"/>
  <c r="AO428" s="1"/>
  <c r="AO429" s="1"/>
  <c r="AO430" s="1"/>
  <c r="AO431" s="1"/>
  <c r="AO432" s="1"/>
  <c r="AO433" s="1"/>
  <c r="AO434" s="1"/>
  <c r="AO435" s="1"/>
  <c r="AO436" s="1"/>
  <c r="AO437" s="1"/>
  <c r="AO438" s="1"/>
  <c r="AO439" s="1"/>
  <c r="AO440" s="1"/>
  <c r="AO441" s="1"/>
  <c r="AO442" s="1"/>
  <c r="AO443" s="1"/>
  <c r="AO444" s="1"/>
  <c r="AO445" s="1"/>
  <c r="AO446" s="1"/>
  <c r="AO447" s="1"/>
  <c r="AO448" s="1"/>
  <c r="AO449" s="1"/>
  <c r="AO450" s="1"/>
  <c r="AO451" s="1"/>
  <c r="AO452" s="1"/>
  <c r="AO453" s="1"/>
  <c r="AO454" s="1"/>
  <c r="AO455" s="1"/>
  <c r="AO456" s="1"/>
  <c r="AO457" s="1"/>
  <c r="AO458" s="1"/>
  <c r="AO459" s="1"/>
  <c r="AO460" s="1"/>
  <c r="AO461" s="1"/>
  <c r="AO462" s="1"/>
  <c r="AO463" s="1"/>
  <c r="AO464" s="1"/>
  <c r="AO465" s="1"/>
  <c r="AO466" s="1"/>
  <c r="AO467" s="1"/>
  <c r="AO468" s="1"/>
  <c r="AO469" s="1"/>
  <c r="AO470" s="1"/>
  <c r="AO471" s="1"/>
  <c r="AO472" s="1"/>
  <c r="AO473" s="1"/>
  <c r="AO474" s="1"/>
  <c r="AO475" s="1"/>
  <c r="AO476" s="1"/>
  <c r="AO477" s="1"/>
  <c r="AO478" s="1"/>
  <c r="AO479" s="1"/>
  <c r="AO480" s="1"/>
  <c r="AO481" s="1"/>
  <c r="AO482" s="1"/>
  <c r="AO483" s="1"/>
  <c r="AO484" s="1"/>
  <c r="AO485" s="1"/>
  <c r="AO486" s="1"/>
  <c r="AO487" s="1"/>
  <c r="AO488" s="1"/>
  <c r="AO489" s="1"/>
  <c r="AO490" s="1"/>
  <c r="AO491" s="1"/>
  <c r="AO492" s="1"/>
  <c r="AO493" s="1"/>
  <c r="AO494" s="1"/>
  <c r="AO495" s="1"/>
  <c r="AO496" s="1"/>
  <c r="AO497" s="1"/>
  <c r="AO498" s="1"/>
  <c r="AO499" s="1"/>
  <c r="AO500" s="1"/>
  <c r="AO501" s="1"/>
  <c r="AO502" s="1"/>
  <c r="AO503" s="1"/>
  <c r="AO504" s="1"/>
  <c r="AO505" s="1"/>
  <c r="AO506" s="1"/>
  <c r="AO507" s="1"/>
  <c r="AO508" s="1"/>
  <c r="AO509" s="1"/>
  <c r="AO510" s="1"/>
  <c r="AO511" s="1"/>
  <c r="AO512" s="1"/>
  <c r="AO513" s="1"/>
  <c r="AO514" s="1"/>
  <c r="AP15" s="1"/>
  <c r="AJ10"/>
  <c r="F19"/>
  <c r="G19" s="1"/>
  <c r="F23"/>
  <c r="G23" s="1"/>
  <c r="F27"/>
  <c r="G27" s="1"/>
  <c r="F31"/>
  <c r="G31" s="1"/>
  <c r="F35"/>
  <c r="G35" s="1"/>
  <c r="F39"/>
  <c r="G39" s="1"/>
  <c r="F43"/>
  <c r="G43" s="1"/>
  <c r="F47"/>
  <c r="G47" s="1"/>
  <c r="F51"/>
  <c r="G51" s="1"/>
  <c r="F55"/>
  <c r="G55" s="1"/>
  <c r="F59"/>
  <c r="G59" s="1"/>
  <c r="F63"/>
  <c r="G63" s="1"/>
  <c r="F67"/>
  <c r="G67" s="1"/>
  <c r="F71"/>
  <c r="G71" s="1"/>
  <c r="F75"/>
  <c r="G75" s="1"/>
  <c r="F79"/>
  <c r="G79" s="1"/>
  <c r="F83"/>
  <c r="G83" s="1"/>
  <c r="F87"/>
  <c r="G87" s="1"/>
  <c r="F91"/>
  <c r="G91" s="1"/>
  <c r="F95"/>
  <c r="G95" s="1"/>
  <c r="F99"/>
  <c r="G99" s="1"/>
  <c r="F103"/>
  <c r="G103" s="1"/>
  <c r="F107"/>
  <c r="G107" s="1"/>
  <c r="F111"/>
  <c r="G111" s="1"/>
  <c r="F115"/>
  <c r="G115" s="1"/>
  <c r="F119"/>
  <c r="G119" s="1"/>
  <c r="F123"/>
  <c r="G123" s="1"/>
  <c r="F127"/>
  <c r="G127" s="1"/>
  <c r="F131"/>
  <c r="G131" s="1"/>
  <c r="F135"/>
  <c r="G135" s="1"/>
  <c r="F139"/>
  <c r="G139" s="1"/>
  <c r="F143"/>
  <c r="G143" s="1"/>
  <c r="F147"/>
  <c r="G147" s="1"/>
  <c r="F151"/>
  <c r="G151" s="1"/>
  <c r="F155"/>
  <c r="G155" s="1"/>
  <c r="F159"/>
  <c r="G159" s="1"/>
  <c r="F163"/>
  <c r="G163" s="1"/>
  <c r="F167"/>
  <c r="G167" s="1"/>
  <c r="F171"/>
  <c r="G171" s="1"/>
  <c r="F175"/>
  <c r="G175" s="1"/>
  <c r="F179"/>
  <c r="G179" s="1"/>
  <c r="F183"/>
  <c r="G183" s="1"/>
  <c r="F187"/>
  <c r="G187" s="1"/>
  <c r="F191"/>
  <c r="G191" s="1"/>
  <c r="F195"/>
  <c r="G195" s="1"/>
  <c r="F199"/>
  <c r="G199" s="1"/>
  <c r="F203"/>
  <c r="G203" s="1"/>
  <c r="F207"/>
  <c r="G207" s="1"/>
  <c r="F211"/>
  <c r="G211" s="1"/>
  <c r="F215"/>
  <c r="G215" s="1"/>
  <c r="F219"/>
  <c r="G219" s="1"/>
  <c r="F223"/>
  <c r="G223" s="1"/>
  <c r="F227"/>
  <c r="G227" s="1"/>
  <c r="F231"/>
  <c r="G231" s="1"/>
  <c r="F235"/>
  <c r="G235" s="1"/>
  <c r="F239"/>
  <c r="G239" s="1"/>
  <c r="F243"/>
  <c r="G243" s="1"/>
  <c r="F247"/>
  <c r="G247" s="1"/>
  <c r="F251"/>
  <c r="G251" s="1"/>
  <c r="F255"/>
  <c r="G255" s="1"/>
  <c r="F259"/>
  <c r="G259" s="1"/>
  <c r="F263"/>
  <c r="G263" s="1"/>
  <c r="F267"/>
  <c r="G267" s="1"/>
  <c r="F271"/>
  <c r="G271" s="1"/>
  <c r="F275"/>
  <c r="G275" s="1"/>
  <c r="F279"/>
  <c r="G279" s="1"/>
  <c r="F283"/>
  <c r="G283" s="1"/>
  <c r="F287"/>
  <c r="G287" s="1"/>
  <c r="F291"/>
  <c r="G291" s="1"/>
  <c r="F295"/>
  <c r="G295" s="1"/>
  <c r="F299"/>
  <c r="G299" s="1"/>
  <c r="F303"/>
  <c r="G303" s="1"/>
  <c r="F307"/>
  <c r="G307" s="1"/>
  <c r="F311"/>
  <c r="G311" s="1"/>
  <c r="F315"/>
  <c r="G315" s="1"/>
  <c r="F319"/>
  <c r="G319" s="1"/>
  <c r="F323"/>
  <c r="G323" s="1"/>
  <c r="F327"/>
  <c r="G327" s="1"/>
  <c r="F331"/>
  <c r="G331" s="1"/>
  <c r="F335"/>
  <c r="G335" s="1"/>
  <c r="F339"/>
  <c r="G339" s="1"/>
  <c r="F343"/>
  <c r="G343" s="1"/>
  <c r="F347"/>
  <c r="G347" s="1"/>
  <c r="F351"/>
  <c r="G351" s="1"/>
  <c r="F355"/>
  <c r="G355" s="1"/>
  <c r="F359"/>
  <c r="G359" s="1"/>
  <c r="F363"/>
  <c r="G363" s="1"/>
  <c r="F367"/>
  <c r="G367" s="1"/>
  <c r="F371"/>
  <c r="G371" s="1"/>
  <c r="F375"/>
  <c r="G375" s="1"/>
  <c r="F379"/>
  <c r="G379" s="1"/>
  <c r="F383"/>
  <c r="G383" s="1"/>
  <c r="F387"/>
  <c r="G387" s="1"/>
  <c r="F391"/>
  <c r="G391" s="1"/>
  <c r="F395"/>
  <c r="G395" s="1"/>
  <c r="F399"/>
  <c r="G399" s="1"/>
  <c r="F403"/>
  <c r="G403" s="1"/>
  <c r="F407"/>
  <c r="G407" s="1"/>
  <c r="F411"/>
  <c r="G411" s="1"/>
  <c r="F415"/>
  <c r="G415" s="1"/>
  <c r="F419"/>
  <c r="G419" s="1"/>
  <c r="F423"/>
  <c r="G423" s="1"/>
  <c r="F427"/>
  <c r="G427" s="1"/>
  <c r="F431"/>
  <c r="G431" s="1"/>
  <c r="F435"/>
  <c r="G435" s="1"/>
  <c r="F439"/>
  <c r="G439" s="1"/>
  <c r="F443"/>
  <c r="G443" s="1"/>
  <c r="F447"/>
  <c r="G447" s="1"/>
  <c r="F451"/>
  <c r="G451" s="1"/>
  <c r="F455"/>
  <c r="G455" s="1"/>
  <c r="F459"/>
  <c r="G459" s="1"/>
  <c r="F463"/>
  <c r="G463" s="1"/>
  <c r="F467"/>
  <c r="G467" s="1"/>
  <c r="F471"/>
  <c r="G471" s="1"/>
  <c r="F475"/>
  <c r="G475" s="1"/>
  <c r="F479"/>
  <c r="G479" s="1"/>
  <c r="F483"/>
  <c r="G483" s="1"/>
  <c r="F487"/>
  <c r="G487" s="1"/>
  <c r="F491"/>
  <c r="G491" s="1"/>
  <c r="F495"/>
  <c r="G495" s="1"/>
  <c r="F499"/>
  <c r="G499" s="1"/>
  <c r="F503"/>
  <c r="G503" s="1"/>
  <c r="F507"/>
  <c r="G507" s="1"/>
  <c r="F511"/>
  <c r="G511" s="1"/>
  <c r="F16"/>
  <c r="G16" s="1"/>
  <c r="F20"/>
  <c r="G20" s="1"/>
  <c r="F24"/>
  <c r="G24" s="1"/>
  <c r="F28"/>
  <c r="G28" s="1"/>
  <c r="F32"/>
  <c r="G32" s="1"/>
  <c r="F36"/>
  <c r="G36" s="1"/>
  <c r="F40"/>
  <c r="G40" s="1"/>
  <c r="F44"/>
  <c r="G44" s="1"/>
  <c r="F48"/>
  <c r="G48" s="1"/>
  <c r="F52"/>
  <c r="G52" s="1"/>
  <c r="F56"/>
  <c r="G56" s="1"/>
  <c r="F60"/>
  <c r="G60" s="1"/>
  <c r="F64"/>
  <c r="G64" s="1"/>
  <c r="F68"/>
  <c r="G68" s="1"/>
  <c r="F72"/>
  <c r="G72" s="1"/>
  <c r="F76"/>
  <c r="G76" s="1"/>
  <c r="F80"/>
  <c r="G80" s="1"/>
  <c r="F84"/>
  <c r="G84" s="1"/>
  <c r="F88"/>
  <c r="G88" s="1"/>
  <c r="F92"/>
  <c r="G92" s="1"/>
  <c r="F96"/>
  <c r="G96" s="1"/>
  <c r="F100"/>
  <c r="G100" s="1"/>
  <c r="F104"/>
  <c r="G104" s="1"/>
  <c r="F108"/>
  <c r="G108" s="1"/>
  <c r="F112"/>
  <c r="G112" s="1"/>
  <c r="F116"/>
  <c r="G116" s="1"/>
  <c r="F120"/>
  <c r="G120" s="1"/>
  <c r="F124"/>
  <c r="G124" s="1"/>
  <c r="F128"/>
  <c r="G128" s="1"/>
  <c r="F132"/>
  <c r="G132" s="1"/>
  <c r="F136"/>
  <c r="G136" s="1"/>
  <c r="F140"/>
  <c r="G140" s="1"/>
  <c r="F144"/>
  <c r="G144" s="1"/>
  <c r="F148"/>
  <c r="G148" s="1"/>
  <c r="F152"/>
  <c r="G152" s="1"/>
  <c r="F156"/>
  <c r="G156" s="1"/>
  <c r="F160"/>
  <c r="G160" s="1"/>
  <c r="F164"/>
  <c r="G164" s="1"/>
  <c r="F168"/>
  <c r="G168" s="1"/>
  <c r="F172"/>
  <c r="G172" s="1"/>
  <c r="F176"/>
  <c r="G176" s="1"/>
  <c r="F180"/>
  <c r="G180" s="1"/>
  <c r="F184"/>
  <c r="G184" s="1"/>
  <c r="F188"/>
  <c r="G188" s="1"/>
  <c r="F192"/>
  <c r="G192" s="1"/>
  <c r="F196"/>
  <c r="G196" s="1"/>
  <c r="F200"/>
  <c r="G200" s="1"/>
  <c r="F204"/>
  <c r="G204" s="1"/>
  <c r="F208"/>
  <c r="G208" s="1"/>
  <c r="F212"/>
  <c r="G212" s="1"/>
  <c r="F216"/>
  <c r="G216" s="1"/>
  <c r="F220"/>
  <c r="G220" s="1"/>
  <c r="F224"/>
  <c r="G224" s="1"/>
  <c r="F228"/>
  <c r="G228" s="1"/>
  <c r="F232"/>
  <c r="G232" s="1"/>
  <c r="F236"/>
  <c r="G236" s="1"/>
  <c r="F240"/>
  <c r="G240" s="1"/>
  <c r="F244"/>
  <c r="G244" s="1"/>
  <c r="F248"/>
  <c r="G248" s="1"/>
  <c r="F252"/>
  <c r="G252" s="1"/>
  <c r="F256"/>
  <c r="G256" s="1"/>
  <c r="F260"/>
  <c r="G260" s="1"/>
  <c r="F264"/>
  <c r="G264" s="1"/>
  <c r="F268"/>
  <c r="G268" s="1"/>
  <c r="F272"/>
  <c r="G272" s="1"/>
  <c r="F276"/>
  <c r="G276" s="1"/>
  <c r="F280"/>
  <c r="G280" s="1"/>
  <c r="F284"/>
  <c r="G284" s="1"/>
  <c r="F288"/>
  <c r="G288" s="1"/>
  <c r="F292"/>
  <c r="G292" s="1"/>
  <c r="F296"/>
  <c r="G296" s="1"/>
  <c r="F300"/>
  <c r="G300" s="1"/>
  <c r="F304"/>
  <c r="G304" s="1"/>
  <c r="F308"/>
  <c r="G308" s="1"/>
  <c r="F312"/>
  <c r="G312" s="1"/>
  <c r="F316"/>
  <c r="G316" s="1"/>
  <c r="F320"/>
  <c r="G320" s="1"/>
  <c r="F324"/>
  <c r="G324" s="1"/>
  <c r="F328"/>
  <c r="G328" s="1"/>
  <c r="F332"/>
  <c r="G332" s="1"/>
  <c r="F336"/>
  <c r="G336" s="1"/>
  <c r="F340"/>
  <c r="G340" s="1"/>
  <c r="F344"/>
  <c r="G344" s="1"/>
  <c r="F348"/>
  <c r="G348" s="1"/>
  <c r="F352"/>
  <c r="G352" s="1"/>
  <c r="F356"/>
  <c r="G356" s="1"/>
  <c r="F360"/>
  <c r="G360" s="1"/>
  <c r="F364"/>
  <c r="G364" s="1"/>
  <c r="F368"/>
  <c r="G368" s="1"/>
  <c r="F372"/>
  <c r="G372" s="1"/>
  <c r="F376"/>
  <c r="G376" s="1"/>
  <c r="F380"/>
  <c r="G380" s="1"/>
  <c r="F384"/>
  <c r="G384" s="1"/>
  <c r="F388"/>
  <c r="G388" s="1"/>
  <c r="F392"/>
  <c r="G392" s="1"/>
  <c r="F396"/>
  <c r="G396" s="1"/>
  <c r="F400"/>
  <c r="G400" s="1"/>
  <c r="F404"/>
  <c r="G404" s="1"/>
  <c r="F408"/>
  <c r="G408" s="1"/>
  <c r="F412"/>
  <c r="G412" s="1"/>
  <c r="F416"/>
  <c r="G416" s="1"/>
  <c r="F420"/>
  <c r="G420" s="1"/>
  <c r="F424"/>
  <c r="G424" s="1"/>
  <c r="F428"/>
  <c r="G428" s="1"/>
  <c r="F432"/>
  <c r="G432" s="1"/>
  <c r="F436"/>
  <c r="G436" s="1"/>
  <c r="F440"/>
  <c r="G440" s="1"/>
  <c r="F444"/>
  <c r="G444" s="1"/>
  <c r="F448"/>
  <c r="G448" s="1"/>
  <c r="F452"/>
  <c r="G452" s="1"/>
  <c r="F456"/>
  <c r="G456" s="1"/>
  <c r="F460"/>
  <c r="G460" s="1"/>
  <c r="F464"/>
  <c r="G464" s="1"/>
  <c r="F468"/>
  <c r="G468" s="1"/>
  <c r="F472"/>
  <c r="G472" s="1"/>
  <c r="F476"/>
  <c r="G476" s="1"/>
  <c r="F480"/>
  <c r="G480" s="1"/>
  <c r="F484"/>
  <c r="G484" s="1"/>
  <c r="F488"/>
  <c r="G488" s="1"/>
  <c r="F492"/>
  <c r="G492" s="1"/>
  <c r="F496"/>
  <c r="G496" s="1"/>
  <c r="F500"/>
  <c r="G500" s="1"/>
  <c r="F504"/>
  <c r="G504" s="1"/>
  <c r="F508"/>
  <c r="G508" s="1"/>
  <c r="F512"/>
  <c r="G512" s="1"/>
  <c r="F17"/>
  <c r="G17" s="1"/>
  <c r="F21"/>
  <c r="G21" s="1"/>
  <c r="F25"/>
  <c r="G25" s="1"/>
  <c r="F29"/>
  <c r="G29" s="1"/>
  <c r="F33"/>
  <c r="G33" s="1"/>
  <c r="F37"/>
  <c r="G37" s="1"/>
  <c r="F41"/>
  <c r="G41" s="1"/>
  <c r="F514"/>
  <c r="G514" s="1"/>
  <c r="F506"/>
  <c r="G506" s="1"/>
  <c r="F498"/>
  <c r="G498" s="1"/>
  <c r="F490"/>
  <c r="G490" s="1"/>
  <c r="F482"/>
  <c r="G482" s="1"/>
  <c r="F474"/>
  <c r="G474" s="1"/>
  <c r="F466"/>
  <c r="G466" s="1"/>
  <c r="F458"/>
  <c r="G458" s="1"/>
  <c r="F450"/>
  <c r="G450" s="1"/>
  <c r="F442"/>
  <c r="G442" s="1"/>
  <c r="F434"/>
  <c r="G434" s="1"/>
  <c r="F426"/>
  <c r="G426" s="1"/>
  <c r="F418"/>
  <c r="G418" s="1"/>
  <c r="F410"/>
  <c r="G410" s="1"/>
  <c r="F402"/>
  <c r="G402" s="1"/>
  <c r="F394"/>
  <c r="G394" s="1"/>
  <c r="F386"/>
  <c r="G386" s="1"/>
  <c r="F378"/>
  <c r="G378" s="1"/>
  <c r="F370"/>
  <c r="G370" s="1"/>
  <c r="F362"/>
  <c r="G362" s="1"/>
  <c r="F354"/>
  <c r="G354" s="1"/>
  <c r="F346"/>
  <c r="G346" s="1"/>
  <c r="F338"/>
  <c r="G338" s="1"/>
  <c r="F330"/>
  <c r="G330" s="1"/>
  <c r="F322"/>
  <c r="G322" s="1"/>
  <c r="F314"/>
  <c r="G314" s="1"/>
  <c r="F306"/>
  <c r="G306" s="1"/>
  <c r="F298"/>
  <c r="G298" s="1"/>
  <c r="F290"/>
  <c r="G290" s="1"/>
  <c r="F282"/>
  <c r="G282" s="1"/>
  <c r="F274"/>
  <c r="G274" s="1"/>
  <c r="F266"/>
  <c r="G266" s="1"/>
  <c r="F258"/>
  <c r="G258" s="1"/>
  <c r="F250"/>
  <c r="G250" s="1"/>
  <c r="F242"/>
  <c r="G242" s="1"/>
  <c r="F234"/>
  <c r="G234" s="1"/>
  <c r="F226"/>
  <c r="G226" s="1"/>
  <c r="F218"/>
  <c r="G218" s="1"/>
  <c r="F210"/>
  <c r="G210" s="1"/>
  <c r="F202"/>
  <c r="G202" s="1"/>
  <c r="F194"/>
  <c r="G194" s="1"/>
  <c r="F186"/>
  <c r="G186" s="1"/>
  <c r="F178"/>
  <c r="G178" s="1"/>
  <c r="F170"/>
  <c r="G170" s="1"/>
  <c r="F162"/>
  <c r="G162" s="1"/>
  <c r="F154"/>
  <c r="G154" s="1"/>
  <c r="F146"/>
  <c r="G146" s="1"/>
  <c r="F138"/>
  <c r="G138" s="1"/>
  <c r="F130"/>
  <c r="G130" s="1"/>
  <c r="F122"/>
  <c r="G122" s="1"/>
  <c r="F114"/>
  <c r="G114" s="1"/>
  <c r="F106"/>
  <c r="G106" s="1"/>
  <c r="F98"/>
  <c r="G98" s="1"/>
  <c r="F90"/>
  <c r="G90" s="1"/>
  <c r="F82"/>
  <c r="G82" s="1"/>
  <c r="F74"/>
  <c r="G74" s="1"/>
  <c r="F66"/>
  <c r="G66" s="1"/>
  <c r="F58"/>
  <c r="G58" s="1"/>
  <c r="F50"/>
  <c r="G50" s="1"/>
  <c r="F42"/>
  <c r="G42" s="1"/>
  <c r="F34"/>
  <c r="G34" s="1"/>
  <c r="F26"/>
  <c r="G26" s="1"/>
  <c r="F18"/>
  <c r="G18" s="1"/>
  <c r="F509"/>
  <c r="G509" s="1"/>
  <c r="F501"/>
  <c r="G501" s="1"/>
  <c r="F493"/>
  <c r="G493" s="1"/>
  <c r="F485"/>
  <c r="G485" s="1"/>
  <c r="F477"/>
  <c r="G477" s="1"/>
  <c r="F469"/>
  <c r="G469" s="1"/>
  <c r="F461"/>
  <c r="G461" s="1"/>
  <c r="F453"/>
  <c r="G453" s="1"/>
  <c r="F445"/>
  <c r="G445" s="1"/>
  <c r="F437"/>
  <c r="G437" s="1"/>
  <c r="F429"/>
  <c r="G429" s="1"/>
  <c r="F421"/>
  <c r="G421" s="1"/>
  <c r="F413"/>
  <c r="G413" s="1"/>
  <c r="F405"/>
  <c r="G405" s="1"/>
  <c r="F397"/>
  <c r="G397" s="1"/>
  <c r="F389"/>
  <c r="G389" s="1"/>
  <c r="F381"/>
  <c r="G381" s="1"/>
  <c r="F373"/>
  <c r="G373" s="1"/>
  <c r="F365"/>
  <c r="G365" s="1"/>
  <c r="F357"/>
  <c r="G357" s="1"/>
  <c r="F349"/>
  <c r="G349" s="1"/>
  <c r="F341"/>
  <c r="G341" s="1"/>
  <c r="F333"/>
  <c r="G333" s="1"/>
  <c r="F325"/>
  <c r="G325" s="1"/>
  <c r="F317"/>
  <c r="G317" s="1"/>
  <c r="F309"/>
  <c r="G309" s="1"/>
  <c r="F301"/>
  <c r="G301" s="1"/>
  <c r="F293"/>
  <c r="G293" s="1"/>
  <c r="F285"/>
  <c r="G285" s="1"/>
  <c r="F277"/>
  <c r="G277" s="1"/>
  <c r="F269"/>
  <c r="G269" s="1"/>
  <c r="F261"/>
  <c r="G261" s="1"/>
  <c r="F253"/>
  <c r="G253" s="1"/>
  <c r="F245"/>
  <c r="G245" s="1"/>
  <c r="F237"/>
  <c r="G237" s="1"/>
  <c r="F229"/>
  <c r="G229" s="1"/>
  <c r="F221"/>
  <c r="G221" s="1"/>
  <c r="F213"/>
  <c r="G213" s="1"/>
  <c r="F205"/>
  <c r="G205" s="1"/>
  <c r="F197"/>
  <c r="G197" s="1"/>
  <c r="F189"/>
  <c r="G189" s="1"/>
  <c r="F181"/>
  <c r="G181" s="1"/>
  <c r="F173"/>
  <c r="G173" s="1"/>
  <c r="F165"/>
  <c r="G165" s="1"/>
  <c r="F157"/>
  <c r="G157" s="1"/>
  <c r="F149"/>
  <c r="G149" s="1"/>
  <c r="F141"/>
  <c r="G141" s="1"/>
  <c r="F133"/>
  <c r="G133" s="1"/>
  <c r="F125"/>
  <c r="G125" s="1"/>
  <c r="F117"/>
  <c r="G117" s="1"/>
  <c r="F109"/>
  <c r="G109" s="1"/>
  <c r="F101"/>
  <c r="G101" s="1"/>
  <c r="F93"/>
  <c r="G93" s="1"/>
  <c r="F85"/>
  <c r="G85" s="1"/>
  <c r="F77"/>
  <c r="G77" s="1"/>
  <c r="F69"/>
  <c r="G69" s="1"/>
  <c r="F61"/>
  <c r="G61" s="1"/>
  <c r="F53"/>
  <c r="G53" s="1"/>
  <c r="F45"/>
  <c r="G45" s="1"/>
  <c r="F510"/>
  <c r="G510" s="1"/>
  <c r="F502"/>
  <c r="G502" s="1"/>
  <c r="F494"/>
  <c r="G494" s="1"/>
  <c r="F486"/>
  <c r="G486" s="1"/>
  <c r="F478"/>
  <c r="G478" s="1"/>
  <c r="F470"/>
  <c r="G470" s="1"/>
  <c r="F462"/>
  <c r="G462" s="1"/>
  <c r="F454"/>
  <c r="G454" s="1"/>
  <c r="F446"/>
  <c r="G446" s="1"/>
  <c r="F438"/>
  <c r="G438" s="1"/>
  <c r="F430"/>
  <c r="G430" s="1"/>
  <c r="F422"/>
  <c r="G422" s="1"/>
  <c r="F414"/>
  <c r="G414" s="1"/>
  <c r="F406"/>
  <c r="G406" s="1"/>
  <c r="F398"/>
  <c r="G398" s="1"/>
  <c r="F390"/>
  <c r="G390" s="1"/>
  <c r="F382"/>
  <c r="G382" s="1"/>
  <c r="F374"/>
  <c r="G374" s="1"/>
  <c r="F366"/>
  <c r="G366" s="1"/>
  <c r="F358"/>
  <c r="G358" s="1"/>
  <c r="F350"/>
  <c r="G350" s="1"/>
  <c r="F342"/>
  <c r="G342" s="1"/>
  <c r="F334"/>
  <c r="G334" s="1"/>
  <c r="F326"/>
  <c r="G326" s="1"/>
  <c r="F318"/>
  <c r="G318" s="1"/>
  <c r="F310"/>
  <c r="G310" s="1"/>
  <c r="F302"/>
  <c r="G302" s="1"/>
  <c r="F294"/>
  <c r="G294" s="1"/>
  <c r="F286"/>
  <c r="G286" s="1"/>
  <c r="F278"/>
  <c r="G278" s="1"/>
  <c r="F270"/>
  <c r="G270" s="1"/>
  <c r="F262"/>
  <c r="G262" s="1"/>
  <c r="F254"/>
  <c r="G254" s="1"/>
  <c r="F246"/>
  <c r="G246" s="1"/>
  <c r="F238"/>
  <c r="G238" s="1"/>
  <c r="F230"/>
  <c r="G230" s="1"/>
  <c r="F222"/>
  <c r="G222" s="1"/>
  <c r="F214"/>
  <c r="G214" s="1"/>
  <c r="F206"/>
  <c r="G206" s="1"/>
  <c r="F198"/>
  <c r="G198" s="1"/>
  <c r="F190"/>
  <c r="G190" s="1"/>
  <c r="F182"/>
  <c r="G182" s="1"/>
  <c r="F174"/>
  <c r="G174" s="1"/>
  <c r="F166"/>
  <c r="G166" s="1"/>
  <c r="F158"/>
  <c r="G158" s="1"/>
  <c r="F150"/>
  <c r="G150" s="1"/>
  <c r="F142"/>
  <c r="G142" s="1"/>
  <c r="F134"/>
  <c r="G134" s="1"/>
  <c r="F126"/>
  <c r="G126" s="1"/>
  <c r="F118"/>
  <c r="G118" s="1"/>
  <c r="F110"/>
  <c r="G110" s="1"/>
  <c r="F102"/>
  <c r="G102" s="1"/>
  <c r="F94"/>
  <c r="G94" s="1"/>
  <c r="F86"/>
  <c r="G86" s="1"/>
  <c r="F78"/>
  <c r="G78" s="1"/>
  <c r="F70"/>
  <c r="G70" s="1"/>
  <c r="F62"/>
  <c r="G62" s="1"/>
  <c r="F54"/>
  <c r="G54" s="1"/>
  <c r="F46"/>
  <c r="G46" s="1"/>
  <c r="F38"/>
  <c r="G38" s="1"/>
  <c r="F30"/>
  <c r="G30" s="1"/>
  <c r="F22"/>
  <c r="G22" s="1"/>
  <c r="F513"/>
  <c r="G513" s="1"/>
  <c r="F505"/>
  <c r="G505" s="1"/>
  <c r="F497"/>
  <c r="G497" s="1"/>
  <c r="F489"/>
  <c r="G489" s="1"/>
  <c r="F481"/>
  <c r="G481" s="1"/>
  <c r="F473"/>
  <c r="G473" s="1"/>
  <c r="F465"/>
  <c r="G465" s="1"/>
  <c r="F457"/>
  <c r="G457" s="1"/>
  <c r="F449"/>
  <c r="G449" s="1"/>
  <c r="F441"/>
  <c r="G441" s="1"/>
  <c r="F433"/>
  <c r="G433" s="1"/>
  <c r="F425"/>
  <c r="G425" s="1"/>
  <c r="F417"/>
  <c r="G417" s="1"/>
  <c r="F409"/>
  <c r="G409" s="1"/>
  <c r="F401"/>
  <c r="G401" s="1"/>
  <c r="F393"/>
  <c r="G393" s="1"/>
  <c r="F385"/>
  <c r="G385" s="1"/>
  <c r="F377"/>
  <c r="G377" s="1"/>
  <c r="F369"/>
  <c r="G369" s="1"/>
  <c r="F361"/>
  <c r="G361" s="1"/>
  <c r="F353"/>
  <c r="G353" s="1"/>
  <c r="F345"/>
  <c r="G345" s="1"/>
  <c r="F337"/>
  <c r="G337" s="1"/>
  <c r="F329"/>
  <c r="G329" s="1"/>
  <c r="F321"/>
  <c r="G321" s="1"/>
  <c r="F313"/>
  <c r="G313" s="1"/>
  <c r="F305"/>
  <c r="G305" s="1"/>
  <c r="F297"/>
  <c r="G297" s="1"/>
  <c r="F289"/>
  <c r="G289" s="1"/>
  <c r="F281"/>
  <c r="G281" s="1"/>
  <c r="F273"/>
  <c r="G273" s="1"/>
  <c r="F265"/>
  <c r="F257"/>
  <c r="G257" s="1"/>
  <c r="F249"/>
  <c r="G249" s="1"/>
  <c r="F241"/>
  <c r="G241" s="1"/>
  <c r="F233"/>
  <c r="G233" s="1"/>
  <c r="F225"/>
  <c r="G225" s="1"/>
  <c r="F217"/>
  <c r="G217" s="1"/>
  <c r="F209"/>
  <c r="G209" s="1"/>
  <c r="F201"/>
  <c r="G201" s="1"/>
  <c r="F193"/>
  <c r="G193" s="1"/>
  <c r="F185"/>
  <c r="G185" s="1"/>
  <c r="F177"/>
  <c r="G177" s="1"/>
  <c r="F169"/>
  <c r="G169" s="1"/>
  <c r="F161"/>
  <c r="G161" s="1"/>
  <c r="F153"/>
  <c r="G153" s="1"/>
  <c r="F145"/>
  <c r="G145" s="1"/>
  <c r="F137"/>
  <c r="G137" s="1"/>
  <c r="F129"/>
  <c r="G129" s="1"/>
  <c r="F121"/>
  <c r="G121" s="1"/>
  <c r="F113"/>
  <c r="G113" s="1"/>
  <c r="F105"/>
  <c r="G105" s="1"/>
  <c r="F97"/>
  <c r="G97" s="1"/>
  <c r="F89"/>
  <c r="G89" s="1"/>
  <c r="F81"/>
  <c r="G81" s="1"/>
  <c r="F73"/>
  <c r="G73" s="1"/>
  <c r="F65"/>
  <c r="G65" s="1"/>
  <c r="F57"/>
  <c r="G57" s="1"/>
  <c r="F49"/>
  <c r="G49" s="1"/>
  <c r="C9" l="1"/>
  <c r="G265"/>
  <c r="G13" s="1"/>
  <c r="E5" i="1" s="1"/>
</calcChain>
</file>

<file path=xl/sharedStrings.xml><?xml version="1.0" encoding="utf-8"?>
<sst xmlns="http://schemas.openxmlformats.org/spreadsheetml/2006/main" count="1217" uniqueCount="174">
  <si>
    <t>Enigma Macro</t>
  </si>
  <si>
    <t>Type message:</t>
  </si>
  <si>
    <t>Text length</t>
  </si>
  <si>
    <t>Words</t>
  </si>
  <si>
    <t>Char</t>
  </si>
  <si>
    <t>Normalised</t>
  </si>
  <si>
    <t>Basic Normalisation</t>
  </si>
  <si>
    <t>A</t>
  </si>
  <si>
    <t>Expections</t>
  </si>
  <si>
    <t xml:space="preserve"> </t>
  </si>
  <si>
    <t>NewChar</t>
  </si>
  <si>
    <t>X</t>
  </si>
  <si>
    <t>.</t>
  </si>
  <si>
    <t>,</t>
  </si>
  <si>
    <t>;</t>
  </si>
  <si>
    <t>"</t>
  </si>
  <si>
    <t>?</t>
  </si>
  <si>
    <t>-</t>
  </si>
  <si>
    <t>ZZ</t>
  </si>
  <si>
    <t>B</t>
  </si>
  <si>
    <t>C</t>
  </si>
  <si>
    <t>1</t>
  </si>
  <si>
    <t>2</t>
  </si>
  <si>
    <t>3</t>
  </si>
  <si>
    <t>4</t>
  </si>
  <si>
    <t>5</t>
  </si>
  <si>
    <t>6</t>
  </si>
  <si>
    <t>7</t>
  </si>
  <si>
    <t>8</t>
  </si>
  <si>
    <t>9</t>
  </si>
  <si>
    <t>0</t>
  </si>
  <si>
    <t>Normalising</t>
  </si>
  <si>
    <t>Over 250 Char</t>
  </si>
  <si>
    <t>Acc'</t>
  </si>
  <si>
    <t>Char Count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</si>
  <si>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</si>
  <si>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</si>
  <si>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</si>
  <si>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</si>
  <si>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</si>
  <si>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</si>
  <si>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</si>
  <si>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</si>
  <si>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</si>
  <si>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</si>
  <si>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</si>
  <si>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</si>
  <si>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</si>
  <si>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</si>
  <si>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</si>
  <si>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</si>
  <si>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</si>
  <si>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</si>
  <si>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</si>
  <si>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</si>
  <si>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</si>
  <si>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</si>
  <si>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Key</t>
  </si>
  <si>
    <t>Stecker (10 normal, max 13)</t>
  </si>
  <si>
    <t>Steckered</t>
  </si>
  <si>
    <t>Pos</t>
  </si>
  <si>
    <t>II</t>
  </si>
  <si>
    <t>III</t>
  </si>
  <si>
    <t>IV</t>
  </si>
  <si>
    <t>VI</t>
  </si>
  <si>
    <t>VII</t>
  </si>
  <si>
    <t>VIII</t>
  </si>
  <si>
    <t xml:space="preserve"> 1930 Enigma I </t>
  </si>
  <si>
    <t xml:space="preserve"> DEC 1938 M3 Army </t>
  </si>
  <si>
    <t xml:space="preserve"> 1939 M3 &amp; M4 Naval (FEB 1942) </t>
  </si>
  <si>
    <t xml:space="preserve">1939 M3 &amp; M4 Naval (FEB 1942) </t>
  </si>
  <si>
    <t xml:space="preserve"> 1939 M3 &amp; M4 Naval</t>
  </si>
  <si>
    <t>Date/Comment:</t>
  </si>
  <si>
    <t>Rotor wiring</t>
  </si>
  <si>
    <r>
      <t>Plug board (</t>
    </r>
    <r>
      <rPr>
        <b/>
        <i/>
        <u/>
        <sz val="11"/>
        <color theme="1"/>
        <rFont val="Calibri"/>
        <family val="2"/>
        <scheme val="minor"/>
      </rPr>
      <t>Steckerbrett)</t>
    </r>
  </si>
  <si>
    <t>Stepped:</t>
  </si>
  <si>
    <t>Rotor Settings</t>
  </si>
  <si>
    <t>Right Rotor</t>
  </si>
  <si>
    <t>Mid Rotor</t>
  </si>
  <si>
    <t>Left Rotor</t>
  </si>
  <si>
    <t>Reflector</t>
  </si>
  <si>
    <t>Model</t>
  </si>
  <si>
    <t>StepPos1</t>
  </si>
  <si>
    <t>StepPos2</t>
  </si>
  <si>
    <t>At this pos next rotor is stepped:</t>
  </si>
  <si>
    <t>Refelctor</t>
  </si>
  <si>
    <t>NOV 1937 Umkehrwalze B</t>
  </si>
  <si>
    <t>Curr Char</t>
  </si>
  <si>
    <t>Rotor:</t>
  </si>
  <si>
    <t>"Right" Rotor</t>
  </si>
  <si>
    <t>Start:</t>
  </si>
  <si>
    <t>In</t>
  </si>
  <si>
    <t>Out</t>
  </si>
  <si>
    <t>"Middle" Rotor</t>
  </si>
  <si>
    <t>"Left" Rotor</t>
  </si>
  <si>
    <t>Return journey</t>
  </si>
  <si>
    <t>Outward journey</t>
  </si>
  <si>
    <t>Output</t>
  </si>
  <si>
    <t>Stecked</t>
  </si>
  <si>
    <t>For decode:</t>
  </si>
  <si>
    <t xml:space="preserve">Encoded: </t>
  </si>
  <si>
    <t>Decode Read mode:</t>
  </si>
  <si>
    <t>Umkehrwalze B</t>
  </si>
  <si>
    <t>&lt;doesn't have the 5-letter grouping</t>
  </si>
  <si>
    <t>Morse Encoded:</t>
  </si>
  <si>
    <t>Under construction</t>
  </si>
  <si>
    <t>Char+</t>
  </si>
  <si>
    <t>ONEX</t>
  </si>
  <si>
    <t>TWOX</t>
  </si>
  <si>
    <t>THREEX</t>
  </si>
  <si>
    <t>FOURX</t>
  </si>
  <si>
    <t>FIVEX</t>
  </si>
  <si>
    <t>SIXX</t>
  </si>
  <si>
    <t>SEVENX</t>
  </si>
  <si>
    <t>EIGHTX</t>
  </si>
  <si>
    <t>NINEX</t>
  </si>
  <si>
    <t>ZEROX</t>
  </si>
  <si>
    <t>Err:</t>
  </si>
  <si>
    <t>FRAQX</t>
  </si>
  <si>
    <t>StepNext:</t>
  </si>
  <si>
    <t>!</t>
  </si>
  <si>
    <t>XX</t>
  </si>
  <si>
    <t>R-Rotor</t>
  </si>
  <si>
    <t>M-Rotor</t>
  </si>
  <si>
    <t>L-Rotor</t>
  </si>
  <si>
    <t>R-Rotor Start</t>
  </si>
  <si>
    <t>M-Rotor Start</t>
  </si>
  <si>
    <t>L-Rotor Start</t>
  </si>
  <si>
    <t>E-Count</t>
  </si>
  <si>
    <t>X%</t>
  </si>
  <si>
    <t>E %</t>
  </si>
  <si>
    <t>X Count</t>
  </si>
  <si>
    <t>ZZ Count</t>
  </si>
  <si>
    <t>ZZ %</t>
  </si>
  <si>
    <t>Decryptor Lookups</t>
  </si>
  <si>
    <t>Basic frequency analysis</t>
  </si>
  <si>
    <t>"E" is most common letter in English</t>
  </si>
  <si>
    <t>"X" is used for spaces etc</t>
  </si>
  <si>
    <t>"ZZ" is a comma</t>
  </si>
  <si>
    <t xml:space="preserve">This is my first attempt at cryptography. It is using the existing 'encoder' which was designed to give visual representation of the rotors etc and is too slow for a real "attack" on the cipher. </t>
  </si>
  <si>
    <t>Message Key</t>
  </si>
  <si>
    <t>Day Key</t>
  </si>
  <si>
    <t>ResultNoSpace</t>
  </si>
  <si>
    <t>IKBUBLXJLLDRVJXUAUZBIPNBUEVOPVITEPSBLN</t>
  </si>
  <si>
    <t>FCIZSQMQFTUGTTTLPCGKXEDXJVWOZKCDZKAWAI</t>
  </si>
  <si>
    <t>TESTXSTRINGXWITHXCOMMAZZXHELLOWXWORLDX</t>
  </si>
  <si>
    <t>FOAMBHRPYPABDUQCPSISSQTJAHIZKHSHJNZVEQ</t>
  </si>
  <si>
    <t>NJBFBOQHJOPXWRCYUZTQORKGLJGSNFDLGORIXD</t>
  </si>
  <si>
    <t>WURJXGKQUTHMNRXIXUKDBMQNFNQYNYDELJJEEN</t>
  </si>
  <si>
    <t>NUCEXHXBDNURVGAUDDPNATKOLXXAOSNFSNGPVO</t>
  </si>
  <si>
    <t>WVIGMNBCBLHOHEBVCSYLSSQCFUOLWFBTEZZBCT</t>
  </si>
  <si>
    <t>BUZXJKTJKQYZYPLKSWFYTTHEKGZSNWKHJFCLYL</t>
  </si>
  <si>
    <t>TZRLEALYXFUJKBNKVKOXVYCVDEJETYBKICOTXX</t>
  </si>
  <si>
    <t>UFMHCBKJKKCFSYWBEFPVCKUSSGWZFHIZYZKQHK</t>
  </si>
  <si>
    <t>JDWFJKEEAKSPMCTCJCMVCGQNFFMIIZXYXKMUDJ</t>
  </si>
  <si>
    <t>AGSEGUOWUIAEAAAVQDOQQNKJLHQVTRUEAKPDXL</t>
  </si>
  <si>
    <t>JSJIHVXBVRAWQOTMOCIWNZLHBMORPYBTEQIBLQ</t>
  </si>
  <si>
    <t>OCZMGRIJMOHEAVUEIRYHQZXLQZWVQYRJKGUGRO</t>
  </si>
  <si>
    <t>RCQRLIZJAUZKITDERXGCDBRWPNJCVNEWQNPLZX</t>
  </si>
  <si>
    <t>PGIMTHMJURBNOWLIBEYGEBNWHOCMYBJRVKIMXL</t>
  </si>
  <si>
    <t>BCIOSNCKIAYVPGFPKVWCFOQPFCNAODMCBPSUYJ</t>
  </si>
  <si>
    <t>YUZNVJUMNZRILOIMOTMPOOQNFJGONPDCLROECE</t>
  </si>
  <si>
    <t>TMXISHXLGIZKINZVDWXRZEIPGBFJDAMJKORGVL</t>
  </si>
  <si>
    <t>REBMVPZLGZFGTMLJEFCGFGUJSUNXNTRJKJEGQT</t>
  </si>
  <si>
    <t>THE</t>
  </si>
  <si>
    <t>Crib1</t>
  </si>
  <si>
    <t>Crib2</t>
  </si>
  <si>
    <t>XIX</t>
  </si>
  <si>
    <t>Crib3</t>
  </si>
  <si>
    <t>XAX</t>
  </si>
  <si>
    <t>CRIBS</t>
  </si>
  <si>
    <t>h</t>
  </si>
  <si>
    <t xml:space="preserve">O                                                                                                   </t>
  </si>
  <si>
    <t>http://www.enigmaco.de/enigma/enigma.swf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</si>
</sst>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u/>
      <sz val="11"/>
      <color theme="1" tint="0.249977111117893"/>
      <name val="Calibri"/>
      <family val="2"/>
      <scheme val="minor"/>
    </font>
    <font>
      <u/>
      <sz val="48"/>
      <color theme="1" tint="0.499984740745262"/>
      <name val="Edwardian Script ITC"/>
      <family val="4"/>
    </font>
    <font>
      <sz val="9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8342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07">
    <xf numFmtId="0" fontId="0" fillId="0" borderId="0" xfId="0"/>
    <xf numFmtId="0" fontId="1" fillId="2" borderId="0" xfId="0" applyFont="1" applyFill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/>
    <xf numFmtId="0" fontId="0" fillId="3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right" vertical="center"/>
    </xf>
    <xf numFmtId="0" fontId="2" fillId="0" borderId="0" xfId="0" applyFont="1" applyFill="1"/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6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Border="1" applyAlignment="1">
      <alignment horizontal="left" vertical="top" wrapText="1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4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1" fillId="7" borderId="0" xfId="0" applyFont="1" applyFill="1"/>
    <xf numFmtId="0" fontId="5" fillId="7" borderId="0" xfId="0" applyFont="1" applyFill="1"/>
    <xf numFmtId="0" fontId="0" fillId="13" borderId="4" xfId="0" applyFill="1" applyBorder="1" applyAlignment="1">
      <alignment horizontal="right"/>
    </xf>
    <xf numFmtId="0" fontId="0" fillId="13" borderId="5" xfId="0" applyFill="1" applyBorder="1"/>
    <xf numFmtId="0" fontId="0" fillId="11" borderId="6" xfId="0" applyFill="1" applyBorder="1" applyAlignment="1">
      <alignment horizontal="right"/>
    </xf>
    <xf numFmtId="0" fontId="0" fillId="11" borderId="7" xfId="0" applyFill="1" applyBorder="1"/>
    <xf numFmtId="0" fontId="0" fillId="6" borderId="6" xfId="0" applyFill="1" applyBorder="1" applyAlignment="1">
      <alignment horizontal="right"/>
    </xf>
    <xf numFmtId="0" fontId="0" fillId="6" borderId="7" xfId="0" applyFill="1" applyBorder="1"/>
    <xf numFmtId="0" fontId="0" fillId="9" borderId="6" xfId="0" applyFill="1" applyBorder="1" applyAlignment="1">
      <alignment horizontal="right"/>
    </xf>
    <xf numFmtId="0" fontId="0" fillId="9" borderId="7" xfId="0" applyFill="1" applyBorder="1"/>
    <xf numFmtId="0" fontId="0" fillId="10" borderId="6" xfId="0" applyFill="1" applyBorder="1" applyAlignment="1">
      <alignment horizontal="right"/>
    </xf>
    <xf numFmtId="0" fontId="0" fillId="10" borderId="7" xfId="0" applyFill="1" applyBorder="1"/>
    <xf numFmtId="0" fontId="0" fillId="13" borderId="8" xfId="0" applyFill="1" applyBorder="1" applyAlignment="1">
      <alignment horizontal="right"/>
    </xf>
    <xf numFmtId="0" fontId="0" fillId="13" borderId="9" xfId="0" applyFill="1" applyBorder="1"/>
    <xf numFmtId="0" fontId="0" fillId="13" borderId="3" xfId="0" applyFill="1" applyBorder="1" applyAlignment="1">
      <alignment horizontal="right"/>
    </xf>
    <xf numFmtId="0" fontId="0" fillId="11" borderId="3" xfId="0" applyFill="1" applyBorder="1" applyAlignment="1">
      <alignment horizontal="right"/>
    </xf>
    <xf numFmtId="0" fontId="0" fillId="11" borderId="3" xfId="0" applyFill="1" applyBorder="1" applyAlignment="1">
      <alignment horizontal="left"/>
    </xf>
    <xf numFmtId="0" fontId="0" fillId="6" borderId="3" xfId="0" applyFill="1" applyBorder="1" applyAlignment="1">
      <alignment horizontal="right"/>
    </xf>
    <xf numFmtId="0" fontId="0" fillId="9" borderId="3" xfId="0" applyFill="1" applyBorder="1" applyAlignment="1">
      <alignment horizontal="right"/>
    </xf>
    <xf numFmtId="0" fontId="0" fillId="10" borderId="3" xfId="0" applyFill="1" applyBorder="1" applyAlignment="1">
      <alignment horizontal="right"/>
    </xf>
    <xf numFmtId="0" fontId="0" fillId="13" borderId="10" xfId="0" applyFill="1" applyBorder="1"/>
    <xf numFmtId="0" fontId="0" fillId="11" borderId="11" xfId="0" applyFill="1" applyBorder="1"/>
    <xf numFmtId="0" fontId="0" fillId="6" borderId="11" xfId="0" applyFill="1" applyBorder="1"/>
    <xf numFmtId="0" fontId="0" fillId="9" borderId="11" xfId="0" applyFill="1" applyBorder="1"/>
    <xf numFmtId="0" fontId="0" fillId="10" borderId="11" xfId="0" applyFill="1" applyBorder="1"/>
    <xf numFmtId="0" fontId="0" fillId="13" borderId="12" xfId="0" applyFill="1" applyBorder="1"/>
    <xf numFmtId="0" fontId="0" fillId="2" borderId="0" xfId="0" applyFill="1" applyAlignment="1">
      <alignment horizontal="right"/>
    </xf>
    <xf numFmtId="0" fontId="0" fillId="2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right"/>
    </xf>
    <xf numFmtId="0" fontId="0" fillId="0" borderId="0" xfId="0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13" xfId="0" applyBorder="1" applyAlignment="1">
      <alignment vertical="top" wrapText="1"/>
    </xf>
    <xf numFmtId="0" fontId="0" fillId="0" borderId="0" xfId="0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0" xfId="0" applyBorder="1" applyAlignment="1">
      <alignment horizontal="right"/>
    </xf>
    <xf numFmtId="0" fontId="9" fillId="0" borderId="0" xfId="0" applyFont="1"/>
    <xf numFmtId="0" fontId="10" fillId="0" borderId="13" xfId="0" applyFont="1" applyBorder="1" applyAlignment="1">
      <alignment vertical="top"/>
    </xf>
    <xf numFmtId="0" fontId="11" fillId="0" borderId="0" xfId="0" applyFont="1"/>
    <xf numFmtId="0" fontId="11" fillId="0" borderId="0" xfId="0" applyFont="1" applyBorder="1" applyAlignment="1">
      <alignment vertical="top"/>
    </xf>
    <xf numFmtId="0" fontId="0" fillId="2" borderId="0" xfId="0" applyFill="1" applyBorder="1" applyAlignment="1">
      <alignment horizontal="left" vertical="top" wrapText="1"/>
    </xf>
    <xf numFmtId="0" fontId="1" fillId="2" borderId="0" xfId="0" applyFont="1" applyFill="1" applyBorder="1" applyAlignment="1">
      <alignment horizontal="left" vertical="top" wrapText="1"/>
    </xf>
    <xf numFmtId="0" fontId="12" fillId="2" borderId="0" xfId="0" applyFont="1" applyFill="1"/>
    <xf numFmtId="0" fontId="14" fillId="11" borderId="0" xfId="0" applyFont="1" applyFill="1"/>
    <xf numFmtId="0" fontId="14" fillId="11" borderId="0" xfId="0" applyFont="1" applyFill="1" applyAlignment="1">
      <alignment horizontal="center"/>
    </xf>
    <xf numFmtId="0" fontId="0" fillId="11" borderId="0" xfId="0" applyFill="1"/>
    <xf numFmtId="0" fontId="14" fillId="6" borderId="0" xfId="0" applyFont="1" applyFill="1"/>
    <xf numFmtId="0" fontId="14" fillId="6" borderId="0" xfId="0" applyFont="1" applyFill="1" applyAlignment="1">
      <alignment horizontal="center"/>
    </xf>
    <xf numFmtId="0" fontId="0" fillId="6" borderId="0" xfId="0" applyFill="1"/>
    <xf numFmtId="0" fontId="0" fillId="11" borderId="0" xfId="0" applyFill="1" applyAlignment="1">
      <alignment horizontal="right" vertical="top"/>
    </xf>
    <xf numFmtId="0" fontId="0" fillId="11" borderId="0" xfId="0" applyFill="1" applyBorder="1" applyAlignment="1">
      <alignment vertical="top" wrapText="1"/>
    </xf>
    <xf numFmtId="0" fontId="1" fillId="13" borderId="14" xfId="0" applyFont="1" applyFill="1" applyBorder="1" applyAlignment="1">
      <alignment horizontal="center"/>
    </xf>
    <xf numFmtId="0" fontId="1" fillId="11" borderId="0" xfId="0" applyFont="1" applyFill="1"/>
    <xf numFmtId="0" fontId="15" fillId="11" borderId="0" xfId="0" applyFont="1" applyFill="1"/>
    <xf numFmtId="0" fontId="8" fillId="11" borderId="0" xfId="0" applyFont="1" applyFill="1" applyAlignment="1">
      <alignment horizontal="center"/>
    </xf>
    <xf numFmtId="0" fontId="5" fillId="11" borderId="0" xfId="0" applyFont="1" applyFill="1"/>
    <xf numFmtId="0" fontId="5" fillId="11" borderId="0" xfId="0" applyFont="1" applyFill="1" applyAlignment="1">
      <alignment horizontal="center"/>
    </xf>
    <xf numFmtId="0" fontId="0" fillId="0" borderId="0" xfId="0" applyFill="1" applyAlignment="1">
      <alignment horizontal="left"/>
    </xf>
    <xf numFmtId="0" fontId="8" fillId="0" borderId="0" xfId="0" applyFont="1"/>
    <xf numFmtId="0" fontId="16" fillId="0" borderId="0" xfId="0" applyFont="1"/>
    <xf numFmtId="0" fontId="13" fillId="2" borderId="0" xfId="0" applyFont="1" applyFill="1"/>
    <xf numFmtId="9" fontId="0" fillId="0" borderId="0" xfId="1" applyFont="1"/>
    <xf numFmtId="0" fontId="2" fillId="0" borderId="15" xfId="0" applyFont="1" applyBorder="1"/>
    <xf numFmtId="0" fontId="0" fillId="0" borderId="16" xfId="0" applyBorder="1"/>
    <xf numFmtId="0" fontId="0" fillId="0" borderId="17" xfId="0" applyBorder="1"/>
    <xf numFmtId="0" fontId="0" fillId="11" borderId="20" xfId="0" applyFill="1" applyBorder="1"/>
    <xf numFmtId="0" fontId="0" fillId="11" borderId="21" xfId="0" applyFill="1" applyBorder="1"/>
    <xf numFmtId="0" fontId="0" fillId="11" borderId="22" xfId="0" applyFill="1" applyBorder="1"/>
    <xf numFmtId="0" fontId="18" fillId="7" borderId="0" xfId="0" applyFont="1" applyFill="1"/>
    <xf numFmtId="0" fontId="1" fillId="5" borderId="0" xfId="0" applyFont="1" applyFill="1" applyAlignment="1">
      <alignment horizontal="left"/>
    </xf>
    <xf numFmtId="0" fontId="0" fillId="0" borderId="0" xfId="0" applyAlignment="1">
      <alignment horizontal="left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19" xfId="0" applyFont="1" applyBorder="1" applyAlignment="1">
      <alignment horizontal="center" vertical="center" wrapText="1"/>
    </xf>
    <xf numFmtId="0" fontId="0" fillId="15" borderId="0" xfId="0" applyFill="1"/>
  </cellXfs>
  <cellStyles count="2">
    <cellStyle name="Normal" xfId="0" builtinId="0"/>
    <cellStyle name="Percent" xfId="1" builtinId="5"/>
  </cellStyles>
  <dxfs count="13">
    <dxf>
      <fill>
        <patternFill>
          <bgColor theme="0" tint="-0.24994659260841701"/>
        </patternFill>
      </fill>
    </dxf>
    <dxf>
      <font>
        <color theme="3" tint="0.79998168889431442"/>
      </font>
      <fill>
        <patternFill>
          <bgColor rgb="FFFF0000"/>
        </patternFill>
      </fill>
    </dxf>
    <dxf>
      <fill>
        <gradientFill degree="90">
          <stop position="0">
            <color theme="4" tint="-0.49803155613879818"/>
          </stop>
          <stop position="0.5">
            <color theme="3" tint="0.59999389629810485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theme="4" tint="-0.49803155613879818"/>
          </stop>
          <stop position="0.5">
            <color theme="3" tint="0.59999389629810485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theme="4" tint="-0.49803155613879818"/>
          </stop>
          <stop position="0.5">
            <color theme="3" tint="0.59999389629810485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theme="4" tint="-0.49803155613879818"/>
          </stop>
          <stop position="0.5">
            <color theme="3" tint="0.59999389629810485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ont>
        <color theme="2" tint="-0.499984740745262"/>
      </font>
    </dxf>
  </dxfs>
  <tableStyles count="0" defaultTableStyle="TableStyleMedium9" defaultPivotStyle="PivotStyleLight16"/>
  <colors>
    <mruColors>
      <color rgb="FF383420"/>
      <color rgb="FFEEEEEE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590549</xdr:colOff>
      <xdr:row>7</xdr:row>
      <xdr:rowOff>2381</xdr:rowOff>
    </xdr:from>
    <xdr:to>
      <xdr:col>14</xdr:col>
      <xdr:colOff>600075</xdr:colOff>
      <xdr:row>17</xdr:row>
      <xdr:rowOff>9525</xdr:rowOff>
    </xdr:to>
    <xdr:pic>
      <xdr:nvPicPr>
        <xdr:cNvPr id="1027" name="Picture 3" descr="http://www.hermann-uwe.de/files/images/Enigma-rotor-stack.preview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19874" y="1335881"/>
          <a:ext cx="3057526" cy="1912144"/>
        </a:xfrm>
        <a:prstGeom prst="rect">
          <a:avLst/>
        </a:prstGeom>
        <a:noFill/>
      </xdr:spPr>
    </xdr:pic>
    <xdr:clientData/>
  </xdr:twoCellAnchor>
  <xdr:twoCellAnchor>
    <xdr:from>
      <xdr:col>9</xdr:col>
      <xdr:colOff>266699</xdr:colOff>
      <xdr:row>2</xdr:row>
      <xdr:rowOff>142876</xdr:rowOff>
    </xdr:from>
    <xdr:to>
      <xdr:col>11</xdr:col>
      <xdr:colOff>523874</xdr:colOff>
      <xdr:row>2</xdr:row>
      <xdr:rowOff>600076</xdr:rowOff>
    </xdr:to>
    <xdr:sp macro="[0]!Cipher" textlink="">
      <xdr:nvSpPr>
        <xdr:cNvPr id="2" name="Rounded Rectangle 1"/>
        <xdr:cNvSpPr/>
      </xdr:nvSpPr>
      <xdr:spPr>
        <a:xfrm>
          <a:off x="6296024" y="523876"/>
          <a:ext cx="1476375" cy="45720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10800000" scaled="1"/>
          <a:tileRect/>
        </a:gra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>
              <a:solidFill>
                <a:schemeClr val="tx1">
                  <a:lumMod val="95000"/>
                  <a:lumOff val="5000"/>
                </a:schemeClr>
              </a:solidFill>
              <a:latin typeface="Agency FB" pitchFamily="34" charset="0"/>
            </a:rPr>
            <a:t>Encode/Decode</a:t>
          </a:r>
        </a:p>
      </xdr:txBody>
    </xdr:sp>
    <xdr:clientData/>
  </xdr:twoCellAnchor>
  <xdr:twoCellAnchor editAs="oneCell">
    <xdr:from>
      <xdr:col>7</xdr:col>
      <xdr:colOff>133350</xdr:colOff>
      <xdr:row>6</xdr:row>
      <xdr:rowOff>180976</xdr:rowOff>
    </xdr:from>
    <xdr:to>
      <xdr:col>9</xdr:col>
      <xdr:colOff>590550</xdr:colOff>
      <xdr:row>17</xdr:row>
      <xdr:rowOff>9525</xdr:rowOff>
    </xdr:to>
    <xdr:pic>
      <xdr:nvPicPr>
        <xdr:cNvPr id="1029" name="Picture 5" descr="http://factorydirectcabins.com/gfx/colors/WoodTextureVinyl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238750" y="1952626"/>
          <a:ext cx="1676400" cy="192404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9524</xdr:colOff>
      <xdr:row>7</xdr:row>
      <xdr:rowOff>1</xdr:rowOff>
    </xdr:from>
    <xdr:to>
      <xdr:col>9</xdr:col>
      <xdr:colOff>571499</xdr:colOff>
      <xdr:row>10</xdr:row>
      <xdr:rowOff>0</xdr:rowOff>
    </xdr:to>
    <xdr:pic>
      <xdr:nvPicPr>
        <xdr:cNvPr id="7" name="Picture 5" descr="http://factorydirectcabins.com/gfx/colors/WoodTextureVinyl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38124" y="1962151"/>
          <a:ext cx="6657975" cy="57149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114299</xdr:colOff>
      <xdr:row>15</xdr:row>
      <xdr:rowOff>9527</xdr:rowOff>
    </xdr:from>
    <xdr:to>
      <xdr:col>9</xdr:col>
      <xdr:colOff>561974</xdr:colOff>
      <xdr:row>17</xdr:row>
      <xdr:rowOff>1</xdr:rowOff>
    </xdr:to>
    <xdr:pic>
      <xdr:nvPicPr>
        <xdr:cNvPr id="8" name="Picture 5" descr="http://factorydirectcabins.com/gfx/colors/WoodTextureVinyl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8599" y="3495677"/>
          <a:ext cx="6657975" cy="371474"/>
        </a:xfrm>
        <a:prstGeom prst="rect">
          <a:avLst/>
        </a:prstGeom>
        <a:noFill/>
      </xdr:spPr>
    </xdr:pic>
    <xdr:clientData/>
  </xdr:twoCellAnchor>
  <xdr:twoCellAnchor>
    <xdr:from>
      <xdr:col>12</xdr:col>
      <xdr:colOff>238125</xdr:colOff>
      <xdr:row>2</xdr:row>
      <xdr:rowOff>142875</xdr:rowOff>
    </xdr:from>
    <xdr:to>
      <xdr:col>14</xdr:col>
      <xdr:colOff>495300</xdr:colOff>
      <xdr:row>2</xdr:row>
      <xdr:rowOff>600075</xdr:rowOff>
    </xdr:to>
    <xdr:sp macro="[0]!Decrptor1" textlink="">
      <xdr:nvSpPr>
        <xdr:cNvPr id="9" name="Rounded Rectangle 8"/>
        <xdr:cNvSpPr/>
      </xdr:nvSpPr>
      <xdr:spPr>
        <a:xfrm>
          <a:off x="8096250" y="523875"/>
          <a:ext cx="1476375" cy="45720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10800000" scaled="1"/>
          <a:tileRect/>
        </a:gra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>
              <a:solidFill>
                <a:schemeClr val="tx1">
                  <a:lumMod val="95000"/>
                  <a:lumOff val="5000"/>
                </a:schemeClr>
              </a:solidFill>
              <a:latin typeface="Agency FB" pitchFamily="34" charset="0"/>
            </a:rPr>
            <a:t>Break Code!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49756</xdr:colOff>
      <xdr:row>1</xdr:row>
      <xdr:rowOff>127947</xdr:rowOff>
    </xdr:from>
    <xdr:to>
      <xdr:col>24</xdr:col>
      <xdr:colOff>199032</xdr:colOff>
      <xdr:row>3</xdr:row>
      <xdr:rowOff>127948</xdr:rowOff>
    </xdr:to>
    <xdr:sp macro="" textlink="">
      <xdr:nvSpPr>
        <xdr:cNvPr id="15" name="Right Brace 14"/>
        <xdr:cNvSpPr/>
      </xdr:nvSpPr>
      <xdr:spPr>
        <a:xfrm rot="16200000" flipV="1">
          <a:off x="7239711" y="-2441673"/>
          <a:ext cx="369628" cy="5878493"/>
        </a:xfrm>
        <a:prstGeom prst="rightBrace">
          <a:avLst>
            <a:gd name="adj1" fmla="val 8333"/>
            <a:gd name="adj2" fmla="val 68158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25</xdr:col>
      <xdr:colOff>142163</xdr:colOff>
      <xdr:row>1</xdr:row>
      <xdr:rowOff>99513</xdr:rowOff>
    </xdr:from>
    <xdr:to>
      <xdr:col>35</xdr:col>
      <xdr:colOff>412276</xdr:colOff>
      <xdr:row>3</xdr:row>
      <xdr:rowOff>127944</xdr:rowOff>
    </xdr:to>
    <xdr:sp macro="" textlink="">
      <xdr:nvSpPr>
        <xdr:cNvPr id="16" name="Right Brace 15"/>
        <xdr:cNvSpPr/>
      </xdr:nvSpPr>
      <xdr:spPr>
        <a:xfrm rot="16200000" flipV="1">
          <a:off x="12624180" y="-1720191"/>
          <a:ext cx="398058" cy="4407091"/>
        </a:xfrm>
        <a:prstGeom prst="rightBrace">
          <a:avLst>
            <a:gd name="adj1" fmla="val 8333"/>
            <a:gd name="adj2" fmla="val 87255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28433</xdr:colOff>
      <xdr:row>9</xdr:row>
      <xdr:rowOff>158750</xdr:rowOff>
    </xdr:from>
    <xdr:to>
      <xdr:col>12</xdr:col>
      <xdr:colOff>298545</xdr:colOff>
      <xdr:row>9</xdr:row>
      <xdr:rowOff>174554</xdr:rowOff>
    </xdr:to>
    <xdr:cxnSp macro="">
      <xdr:nvCxnSpPr>
        <xdr:cNvPr id="18" name="Straight Arrow Connector 17"/>
        <xdr:cNvCxnSpPr/>
      </xdr:nvCxnSpPr>
      <xdr:spPr>
        <a:xfrm>
          <a:off x="4491072" y="1957917"/>
          <a:ext cx="1716501" cy="1580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85298</xdr:colOff>
      <xdr:row>10</xdr:row>
      <xdr:rowOff>7372</xdr:rowOff>
    </xdr:from>
    <xdr:to>
      <xdr:col>17</xdr:col>
      <xdr:colOff>284328</xdr:colOff>
      <xdr:row>10</xdr:row>
      <xdr:rowOff>8960</xdr:rowOff>
    </xdr:to>
    <xdr:cxnSp macro="">
      <xdr:nvCxnSpPr>
        <xdr:cNvPr id="19" name="Straight Arrow Connector 18"/>
        <xdr:cNvCxnSpPr/>
      </xdr:nvCxnSpPr>
      <xdr:spPr>
        <a:xfrm>
          <a:off x="6840992" y="2000566"/>
          <a:ext cx="1257364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95534</xdr:colOff>
      <xdr:row>9</xdr:row>
      <xdr:rowOff>145555</xdr:rowOff>
    </xdr:from>
    <xdr:to>
      <xdr:col>22</xdr:col>
      <xdr:colOff>294564</xdr:colOff>
      <xdr:row>9</xdr:row>
      <xdr:rowOff>147143</xdr:rowOff>
    </xdr:to>
    <xdr:cxnSp macro="">
      <xdr:nvCxnSpPr>
        <xdr:cNvPr id="20" name="Straight Arrow Connector 19"/>
        <xdr:cNvCxnSpPr/>
      </xdr:nvCxnSpPr>
      <xdr:spPr>
        <a:xfrm>
          <a:off x="8756228" y="1944722"/>
          <a:ext cx="1257364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105770</xdr:colOff>
      <xdr:row>9</xdr:row>
      <xdr:rowOff>127358</xdr:rowOff>
    </xdr:from>
    <xdr:to>
      <xdr:col>25</xdr:col>
      <xdr:colOff>227463</xdr:colOff>
      <xdr:row>9</xdr:row>
      <xdr:rowOff>135319</xdr:rowOff>
    </xdr:to>
    <xdr:cxnSp macro="">
      <xdr:nvCxnSpPr>
        <xdr:cNvPr id="21" name="Straight Arrow Connector 20"/>
        <xdr:cNvCxnSpPr/>
      </xdr:nvCxnSpPr>
      <xdr:spPr>
        <a:xfrm>
          <a:off x="10671464" y="1926525"/>
          <a:ext cx="439193" cy="796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71083</xdr:colOff>
      <xdr:row>9</xdr:row>
      <xdr:rowOff>149535</xdr:rowOff>
    </xdr:from>
    <xdr:to>
      <xdr:col>28</xdr:col>
      <xdr:colOff>398060</xdr:colOff>
      <xdr:row>9</xdr:row>
      <xdr:rowOff>172966</xdr:rowOff>
    </xdr:to>
    <xdr:cxnSp macro="">
      <xdr:nvCxnSpPr>
        <xdr:cNvPr id="23" name="Straight Arrow Connector 22"/>
        <xdr:cNvCxnSpPr/>
      </xdr:nvCxnSpPr>
      <xdr:spPr>
        <a:xfrm>
          <a:off x="11659833" y="1948702"/>
          <a:ext cx="767949" cy="2343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56865</xdr:colOff>
      <xdr:row>9</xdr:row>
      <xdr:rowOff>172966</xdr:rowOff>
    </xdr:from>
    <xdr:to>
      <xdr:col>31</xdr:col>
      <xdr:colOff>398060</xdr:colOff>
      <xdr:row>9</xdr:row>
      <xdr:rowOff>174554</xdr:rowOff>
    </xdr:to>
    <xdr:cxnSp macro="">
      <xdr:nvCxnSpPr>
        <xdr:cNvPr id="25" name="Straight Arrow Connector 24"/>
        <xdr:cNvCxnSpPr/>
      </xdr:nvCxnSpPr>
      <xdr:spPr>
        <a:xfrm>
          <a:off x="12933254" y="1972133"/>
          <a:ext cx="782167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85299</xdr:colOff>
      <xdr:row>9</xdr:row>
      <xdr:rowOff>187183</xdr:rowOff>
    </xdr:from>
    <xdr:to>
      <xdr:col>34</xdr:col>
      <xdr:colOff>369627</xdr:colOff>
      <xdr:row>9</xdr:row>
      <xdr:rowOff>187184</xdr:rowOff>
    </xdr:to>
    <xdr:cxnSp macro="">
      <xdr:nvCxnSpPr>
        <xdr:cNvPr id="27" name="Straight Arrow Connector 26"/>
        <xdr:cNvCxnSpPr/>
      </xdr:nvCxnSpPr>
      <xdr:spPr>
        <a:xfrm flipV="1">
          <a:off x="14249327" y="1986350"/>
          <a:ext cx="725300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C2:O25"/>
  <sheetViews>
    <sheetView showGridLines="0" tabSelected="1" topLeftCell="A2" workbookViewId="0">
      <selection activeCell="G3" sqref="G3"/>
    </sheetView>
  </sheetViews>
  <sheetFormatPr defaultRowHeight="15"/>
  <cols>
    <col min="1" max="2" width="1.7109375" customWidth="1"/>
    <col min="3" max="3" width="17.42578125" customWidth="1"/>
    <col min="5" max="5" width="16.140625" customWidth="1"/>
    <col min="6" max="6" width="16.85546875" customWidth="1"/>
    <col min="7" max="7" width="13.5703125" customWidth="1"/>
  </cols>
  <sheetData>
    <row r="2" spans="3:15">
      <c r="G2" s="90" t="s">
        <v>173</v>
      </c>
    </row>
    <row r="3" spans="3:15" ht="64.5">
      <c r="C3" s="91" t="s">
        <v>0</v>
      </c>
    </row>
    <row r="4" spans="3:15">
      <c r="C4" s="78"/>
      <c r="D4" s="79" t="s">
        <v>4</v>
      </c>
      <c r="E4" s="79" t="s">
        <v>106</v>
      </c>
      <c r="F4" s="78"/>
      <c r="G4" s="78"/>
      <c r="H4" s="78"/>
      <c r="I4" s="78"/>
      <c r="J4" s="78"/>
      <c r="K4" s="78"/>
      <c r="L4" s="78"/>
      <c r="M4" s="78"/>
      <c r="N4" s="78"/>
      <c r="O4" s="80"/>
    </row>
    <row r="5" spans="3:15">
      <c r="C5" s="75"/>
      <c r="D5" s="76">
        <f>Enigma!C8</f>
        <v>1</v>
      </c>
      <c r="E5" s="76">
        <f>CharCountSteckered</f>
        <v>1</v>
      </c>
      <c r="F5" s="75"/>
      <c r="G5" s="75"/>
      <c r="H5" s="75"/>
      <c r="I5" s="75"/>
      <c r="J5" s="75"/>
      <c r="K5" s="75"/>
      <c r="L5" s="75"/>
      <c r="M5" s="75"/>
      <c r="N5" s="75"/>
      <c r="O5" s="77"/>
    </row>
    <row r="6" spans="3:15" ht="15" customHeight="1">
      <c r="C6" s="81" t="s">
        <v>1</v>
      </c>
      <c r="D6" s="69" t="s">
        <v>171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77"/>
    </row>
    <row r="7" spans="3:15">
      <c r="C7" s="77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77"/>
    </row>
    <row r="8" spans="3:15">
      <c r="C8" s="1"/>
      <c r="D8" s="1"/>
      <c r="E8" s="1"/>
      <c r="F8" s="1"/>
      <c r="G8" s="1"/>
      <c r="H8" s="1"/>
      <c r="I8" s="1"/>
      <c r="J8" s="56"/>
      <c r="O8" s="56"/>
    </row>
    <row r="9" spans="3:15">
      <c r="C9" s="1"/>
      <c r="D9" s="73"/>
      <c r="E9" s="73"/>
      <c r="F9" s="73"/>
      <c r="G9" s="73"/>
      <c r="H9" s="73"/>
      <c r="I9" s="73"/>
      <c r="J9" s="72"/>
      <c r="K9" s="19"/>
      <c r="L9" s="19"/>
      <c r="M9" s="19"/>
      <c r="N9" s="19"/>
      <c r="O9" s="56"/>
    </row>
    <row r="10" spans="3:15">
      <c r="C10" s="74"/>
      <c r="D10" s="1"/>
      <c r="E10" s="1"/>
      <c r="F10" s="1"/>
      <c r="G10" s="1"/>
      <c r="H10" s="1"/>
      <c r="I10" s="1"/>
      <c r="J10" s="56"/>
      <c r="O10" s="56"/>
    </row>
    <row r="11" spans="3:15">
      <c r="C11" s="85" t="s">
        <v>76</v>
      </c>
      <c r="D11" s="88" t="s">
        <v>81</v>
      </c>
      <c r="E11" s="88"/>
      <c r="F11" s="88" t="s">
        <v>141</v>
      </c>
      <c r="G11" s="88" t="s">
        <v>140</v>
      </c>
      <c r="H11" s="84"/>
      <c r="I11" s="1"/>
      <c r="J11" s="56"/>
      <c r="O11" s="56"/>
    </row>
    <row r="12" spans="3:15">
      <c r="C12" s="87" t="s">
        <v>77</v>
      </c>
      <c r="D12" s="83" t="s">
        <v>40</v>
      </c>
      <c r="E12" s="86" t="str">
        <f>IF(COUNTIF($D$12:$D$14,D12)&gt;1,"Duplicated Rotor","Ok")</f>
        <v>Ok</v>
      </c>
      <c r="F12" s="83" t="s">
        <v>38</v>
      </c>
      <c r="G12" s="83" t="s">
        <v>52</v>
      </c>
      <c r="H12" s="84"/>
      <c r="I12" s="1"/>
      <c r="J12" s="56"/>
      <c r="O12" s="56"/>
    </row>
    <row r="13" spans="3:15">
      <c r="C13" s="87" t="s">
        <v>78</v>
      </c>
      <c r="D13" s="83" t="s">
        <v>61</v>
      </c>
      <c r="E13" s="86" t="str">
        <f t="shared" ref="E13:E14" si="0">IF(COUNTIF($D$12:$D$14,D13)&gt;1,"Duplicated Rotor","Ok")</f>
        <v>Ok</v>
      </c>
      <c r="F13" s="83" t="s">
        <v>40</v>
      </c>
      <c r="G13" s="83" t="s">
        <v>7</v>
      </c>
      <c r="H13" s="84"/>
      <c r="I13" s="1"/>
      <c r="J13" s="56"/>
      <c r="O13" s="56"/>
    </row>
    <row r="14" spans="3:15">
      <c r="C14" s="87" t="s">
        <v>79</v>
      </c>
      <c r="D14" s="83" t="s">
        <v>62</v>
      </c>
      <c r="E14" s="86" t="str">
        <f t="shared" si="0"/>
        <v>Ok</v>
      </c>
      <c r="F14" s="83" t="s">
        <v>20</v>
      </c>
      <c r="G14" s="83" t="s">
        <v>7</v>
      </c>
      <c r="H14" s="84"/>
      <c r="I14" s="1"/>
      <c r="J14" s="56"/>
      <c r="O14" s="56"/>
    </row>
    <row r="15" spans="3:15">
      <c r="C15" s="87" t="s">
        <v>80</v>
      </c>
      <c r="D15" s="87" t="s">
        <v>102</v>
      </c>
      <c r="E15" s="84"/>
      <c r="F15" s="84"/>
      <c r="G15" s="84"/>
      <c r="H15" s="84"/>
      <c r="I15" s="1"/>
      <c r="J15" s="56"/>
      <c r="O15" s="56"/>
    </row>
    <row r="16" spans="3:15">
      <c r="C16" s="1"/>
      <c r="D16" s="1"/>
      <c r="E16" s="1"/>
      <c r="F16" s="1"/>
      <c r="G16" s="1"/>
      <c r="H16" s="1"/>
      <c r="I16" s="1"/>
      <c r="J16" s="56"/>
      <c r="O16" s="56"/>
    </row>
    <row r="17" spans="3:15">
      <c r="C17" s="1"/>
      <c r="D17" s="1"/>
      <c r="E17" s="1"/>
      <c r="F17" s="1"/>
      <c r="G17" s="1"/>
      <c r="H17" s="1"/>
      <c r="I17" s="1"/>
      <c r="J17" s="56"/>
      <c r="O17" s="56"/>
    </row>
    <row r="18" spans="3:15">
      <c r="C18" s="66"/>
      <c r="D18" s="63"/>
      <c r="E18" s="62"/>
      <c r="F18" s="62"/>
      <c r="G18" s="62"/>
      <c r="H18" s="62"/>
      <c r="I18" s="62"/>
      <c r="J18" s="62"/>
      <c r="K18" s="62"/>
      <c r="L18" s="62"/>
      <c r="M18" s="62"/>
      <c r="N18" s="62"/>
    </row>
    <row r="19" spans="3:15">
      <c r="C19" s="67" t="s">
        <v>101</v>
      </c>
      <c r="D19" s="71" t="str">
        <f>SUBSTITUTE(SUBSTITUTE(SUBSTITUTE(D23," ",""),"X","x"),"ZZ",",")</f>
        <v>O</v>
      </c>
      <c r="E19" s="62"/>
      <c r="G19" s="62"/>
      <c r="H19" s="62"/>
      <c r="I19" s="62"/>
      <c r="J19" s="62"/>
      <c r="K19" s="62"/>
      <c r="L19" s="62"/>
      <c r="M19" s="62"/>
      <c r="N19" s="62"/>
    </row>
    <row r="20" spans="3:15">
      <c r="C20" s="4"/>
    </row>
    <row r="21" spans="3:15">
      <c r="C21" s="4" t="s">
        <v>99</v>
      </c>
      <c r="D21" s="70" t="str">
        <f>(SUBSTITUTE(D23," ",""))</f>
        <v>O</v>
      </c>
      <c r="I21" t="s">
        <v>103</v>
      </c>
    </row>
    <row r="23" spans="3:15">
      <c r="C23" s="65" t="s">
        <v>100</v>
      </c>
      <c r="D23" s="69" t="s">
        <v>172</v>
      </c>
      <c r="E23" s="64"/>
      <c r="F23" s="64"/>
      <c r="G23" s="64"/>
      <c r="H23" s="64"/>
      <c r="I23" s="64"/>
      <c r="J23" s="64"/>
      <c r="K23" s="64"/>
      <c r="L23" s="64"/>
      <c r="M23" s="64"/>
      <c r="N23" s="64"/>
    </row>
    <row r="24" spans="3:15">
      <c r="D24" s="90" t="str">
        <f>IF(Enigma!AM12&gt;0,"Encoding Failure due to illegal characters!","")</f>
        <v/>
      </c>
    </row>
    <row r="25" spans="3:15">
      <c r="C25" s="4" t="s">
        <v>104</v>
      </c>
      <c r="D25" s="68" t="s">
        <v>105</v>
      </c>
    </row>
  </sheetData>
  <conditionalFormatting sqref="E12:E14">
    <cfRule type="expression" dxfId="12" priority="4">
      <formula>E12="OK"</formula>
    </cfRule>
  </conditionalFormatting>
  <conditionalFormatting sqref="D12:D14">
    <cfRule type="expression" dxfId="11" priority="3">
      <formula>E12&lt;&gt;"OK"</formula>
    </cfRule>
  </conditionalFormatting>
  <conditionalFormatting sqref="E5">
    <cfRule type="expression" dxfId="10" priority="1">
      <formula>E5&gt;250</formula>
    </cfRule>
  </conditionalFormatting>
  <dataValidations count="2">
    <dataValidation type="list" allowBlank="1" showInputMessage="1" showErrorMessage="1" sqref="D12:D14">
      <formula1>RotorList</formula1>
    </dataValidation>
    <dataValidation type="list" allowBlank="1" showInputMessage="1" showErrorMessage="1" sqref="F12:G14">
      <formula1>CharList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2" tint="-0.499984740745262"/>
  </sheetPr>
  <dimension ref="B1:AP514"/>
  <sheetViews>
    <sheetView showGridLines="0" zoomScale="70" zoomScaleNormal="70" workbookViewId="0">
      <selection activeCell="J26" sqref="J26:M26"/>
    </sheetView>
  </sheetViews>
  <sheetFormatPr defaultRowHeight="15"/>
  <cols>
    <col min="2" max="2" width="13.28515625" bestFit="1" customWidth="1"/>
    <col min="3" max="3" width="5" bestFit="1" customWidth="1"/>
    <col min="4" max="4" width="11.7109375" bestFit="1" customWidth="1"/>
    <col min="5" max="5" width="5.5703125" customWidth="1"/>
    <col min="6" max="6" width="11.28515625" style="3" bestFit="1" customWidth="1"/>
    <col min="7" max="7" width="9.140625" style="3"/>
    <col min="8" max="8" width="1.7109375" style="15" customWidth="1"/>
    <col min="9" max="9" width="5.42578125" style="15" customWidth="1"/>
    <col min="10" max="10" width="4.85546875" style="4" customWidth="1"/>
    <col min="11" max="11" width="4.7109375" customWidth="1"/>
    <col min="12" max="13" width="6.7109375" customWidth="1"/>
    <col min="14" max="14" width="6" customWidth="1"/>
    <col min="15" max="15" width="4.85546875" style="4" customWidth="1"/>
    <col min="16" max="16" width="4.5703125" customWidth="1"/>
    <col min="17" max="18" width="6.7109375" customWidth="1"/>
    <col min="19" max="19" width="6" customWidth="1"/>
    <col min="20" max="20" width="4.85546875" style="4" customWidth="1"/>
    <col min="21" max="21" width="4.5703125" customWidth="1"/>
    <col min="22" max="23" width="6.7109375" customWidth="1"/>
    <col min="24" max="24" width="6" customWidth="1"/>
    <col min="25" max="26" width="4.7109375" customWidth="1"/>
    <col min="27" max="27" width="5.85546875" customWidth="1"/>
    <col min="28" max="29" width="6.7109375" customWidth="1"/>
    <col min="30" max="30" width="6" customWidth="1"/>
    <col min="31" max="32" width="6.7109375" customWidth="1"/>
    <col min="33" max="33" width="6" customWidth="1"/>
    <col min="34" max="36" width="6.7109375" customWidth="1"/>
    <col min="37" max="37" width="6" customWidth="1"/>
    <col min="38" max="38" width="9.5703125" bestFit="1" customWidth="1"/>
    <col min="42" max="42" width="22.7109375" customWidth="1"/>
  </cols>
  <sheetData>
    <row r="1" spans="2:42" ht="18.75">
      <c r="N1" s="60" t="s">
        <v>96</v>
      </c>
      <c r="O1" s="61"/>
      <c r="P1" s="60"/>
      <c r="Q1" s="60"/>
      <c r="R1" s="60"/>
      <c r="S1" s="60"/>
      <c r="T1" s="61"/>
      <c r="U1" s="60"/>
      <c r="V1" s="60"/>
      <c r="W1" s="60"/>
      <c r="X1" s="60"/>
      <c r="Y1" s="60"/>
      <c r="Z1" s="60"/>
      <c r="AA1" s="60" t="s">
        <v>95</v>
      </c>
      <c r="AB1" s="60"/>
    </row>
    <row r="5" spans="2:42">
      <c r="J5" s="5" t="s">
        <v>89</v>
      </c>
      <c r="K5" s="4"/>
      <c r="O5" s="5" t="s">
        <v>93</v>
      </c>
      <c r="P5" s="4"/>
      <c r="T5" s="5" t="s">
        <v>94</v>
      </c>
      <c r="U5" s="4"/>
      <c r="Y5" s="5" t="s">
        <v>80</v>
      </c>
      <c r="AB5" s="5" t="s">
        <v>94</v>
      </c>
      <c r="AE5" s="5" t="s">
        <v>93</v>
      </c>
      <c r="AH5" s="5" t="s">
        <v>89</v>
      </c>
    </row>
    <row r="6" spans="2:42">
      <c r="J6" s="14"/>
      <c r="K6" s="4" t="s">
        <v>88</v>
      </c>
      <c r="L6" s="7" t="str">
        <f>Interface!D$12</f>
        <v>I</v>
      </c>
      <c r="O6" s="14"/>
      <c r="P6" s="4" t="s">
        <v>88</v>
      </c>
      <c r="Q6" s="7" t="str">
        <f>Interface!D$13</f>
        <v>II</v>
      </c>
      <c r="T6" s="14"/>
      <c r="U6" s="4" t="s">
        <v>88</v>
      </c>
      <c r="V6" s="7" t="str">
        <f>Interface!D$14</f>
        <v>III</v>
      </c>
      <c r="AB6" s="14"/>
      <c r="AC6" s="25"/>
      <c r="AD6" s="16"/>
      <c r="AE6" s="14"/>
      <c r="AF6" s="25"/>
      <c r="AG6" s="16"/>
      <c r="AH6" s="14"/>
      <c r="AI6" s="25"/>
      <c r="AJ6" s="16"/>
      <c r="AK6" s="16"/>
    </row>
    <row r="7" spans="2:42">
      <c r="J7" s="25"/>
      <c r="K7" s="4" t="s">
        <v>90</v>
      </c>
      <c r="L7" s="3">
        <f>VLOOKUP(Interface!$F$12,Settings!$J$3:$K$29,2,FALSE)</f>
        <v>6</v>
      </c>
      <c r="O7" s="25"/>
      <c r="P7" s="4" t="s">
        <v>90</v>
      </c>
      <c r="Q7" s="3">
        <f>VLOOKUP(Interface!$F$13,Settings!$J$3:$K$29,2,FALSE)</f>
        <v>8</v>
      </c>
      <c r="T7" s="25"/>
      <c r="U7" s="4" t="s">
        <v>90</v>
      </c>
      <c r="V7" s="3">
        <f>VLOOKUP(Interface!$F$14,Settings!$J$3:$K$29,2,FALSE)</f>
        <v>2</v>
      </c>
      <c r="AB7" s="14"/>
      <c r="AC7" s="15"/>
      <c r="AD7" s="16"/>
      <c r="AE7" s="14"/>
      <c r="AF7" s="15"/>
      <c r="AG7" s="16"/>
      <c r="AH7" s="14"/>
      <c r="AI7" s="15"/>
      <c r="AJ7" s="16"/>
      <c r="AK7" s="16"/>
    </row>
    <row r="8" spans="2:42">
      <c r="B8" t="s">
        <v>2</v>
      </c>
      <c r="C8" s="3">
        <f>LEN(Inputtext)</f>
        <v>1</v>
      </c>
      <c r="D8" t="s">
        <v>3</v>
      </c>
      <c r="E8" s="3">
        <f>COUNTIF(C15:C514," ")+1</f>
        <v>1</v>
      </c>
      <c r="G8" s="4"/>
      <c r="H8" s="14"/>
      <c r="I8" s="14"/>
      <c r="J8" s="15"/>
      <c r="K8" s="4" t="s">
        <v>75</v>
      </c>
      <c r="L8" s="3">
        <v>8</v>
      </c>
      <c r="O8" s="15"/>
      <c r="P8" s="4" t="s">
        <v>75</v>
      </c>
      <c r="Q8" s="3">
        <v>8</v>
      </c>
      <c r="T8" s="15"/>
      <c r="U8" s="4" t="s">
        <v>75</v>
      </c>
      <c r="V8" s="3">
        <v>2</v>
      </c>
      <c r="AB8" s="14"/>
      <c r="AC8" s="15"/>
      <c r="AD8" s="16"/>
      <c r="AE8" s="14"/>
      <c r="AF8" s="15"/>
      <c r="AG8" s="16"/>
      <c r="AH8" s="14"/>
      <c r="AI8" s="15"/>
      <c r="AJ8" s="16"/>
      <c r="AK8" s="16"/>
    </row>
    <row r="9" spans="2:42">
      <c r="B9" t="s">
        <v>32</v>
      </c>
      <c r="C9" s="3" t="str">
        <f>IF(F265&lt;&gt;"","Too Long","Ok")</f>
        <v>Ok</v>
      </c>
      <c r="G9" s="20" t="s">
        <v>87</v>
      </c>
      <c r="H9" s="25"/>
      <c r="I9" s="25"/>
      <c r="J9" s="15"/>
      <c r="K9" s="4" t="s">
        <v>119</v>
      </c>
      <c r="L9" s="3" t="str">
        <f ca="1">IF(OR(MOD(L8,26)=OFFSET(Settings!$K$31,0,MATCH(L6,Settings!$L$3:$T$3,0),1,1),MOD(L8,26)=OFFSET(Settings!$K$32,0,MATCH(L6,Settings!$L$3:$T$3,0),1,1)),"Step","No")</f>
        <v>No</v>
      </c>
      <c r="N9" s="20" t="s">
        <v>4</v>
      </c>
      <c r="O9" s="15"/>
      <c r="P9" s="4" t="s">
        <v>119</v>
      </c>
      <c r="Q9" s="3" t="str">
        <f ca="1">IF(OR(MOD(Q8,26)=OFFSET(Settings!$K$31,0,MATCH(Q6,Settings!$L$3:$T$3,0),1,1),MOD(Q8,26)=OFFSET(Settings!$K$32,0,MATCH(Q6,Settings!$L$3:$T$3,0),1,1)),"Step","No")</f>
        <v>No</v>
      </c>
      <c r="S9" s="20" t="s">
        <v>4</v>
      </c>
      <c r="T9" s="15"/>
      <c r="U9" s="4"/>
      <c r="V9" s="3"/>
      <c r="X9" s="20" t="s">
        <v>4</v>
      </c>
      <c r="AA9" s="20" t="s">
        <v>4</v>
      </c>
      <c r="AB9" s="14"/>
      <c r="AC9" s="15"/>
      <c r="AD9" s="20" t="s">
        <v>4</v>
      </c>
      <c r="AE9" s="14"/>
      <c r="AF9" s="15"/>
      <c r="AG9" s="20" t="s">
        <v>4</v>
      </c>
      <c r="AH9" s="14"/>
      <c r="AI9" s="15"/>
      <c r="AJ9" s="20" t="s">
        <v>4</v>
      </c>
      <c r="AK9" s="25"/>
    </row>
    <row r="10" spans="2:42">
      <c r="G10" s="27" t="s">
        <v>43</v>
      </c>
      <c r="J10" s="15"/>
      <c r="K10" s="4"/>
      <c r="L10" s="3"/>
      <c r="N10" s="27" t="str">
        <f>VLOOKUP(G10,J15:M40,4,FALSE)</f>
        <v>P</v>
      </c>
      <c r="O10" s="15"/>
      <c r="P10" s="4"/>
      <c r="Q10" s="3"/>
      <c r="S10" s="27" t="str">
        <f>VLOOKUP(N10,O15:R40,4,FALSE)</f>
        <v>V</v>
      </c>
      <c r="T10" s="15"/>
      <c r="U10" s="4"/>
      <c r="V10" s="3"/>
      <c r="X10" s="27" t="str">
        <f>VLOOKUP(S10,T15:W40,4,FALSE)</f>
        <v>S</v>
      </c>
      <c r="AA10" s="28" t="str">
        <f>VLOOKUP(X10,Y15:Z40,2,FALSE)</f>
        <v>F</v>
      </c>
      <c r="AB10" s="14"/>
      <c r="AC10" s="15"/>
      <c r="AD10" s="28" t="str">
        <f>VLOOKUP(AA10,AB15:AC40,2,FALSE)</f>
        <v>A</v>
      </c>
      <c r="AE10" s="14"/>
      <c r="AF10" s="15"/>
      <c r="AG10" s="28" t="str">
        <f>VLOOKUP(AD10,AE15:AF40,2,FALSE)</f>
        <v>S</v>
      </c>
      <c r="AH10" s="14"/>
      <c r="AI10" s="15"/>
      <c r="AJ10" s="28" t="str">
        <f>VLOOKUP(AG10,AH15:AI40,2,FALSE)</f>
        <v>K</v>
      </c>
      <c r="AK10" s="15"/>
    </row>
    <row r="11" spans="2:42">
      <c r="G11" s="15"/>
      <c r="J11" s="15"/>
      <c r="K11" s="14"/>
      <c r="L11" s="15"/>
      <c r="M11" s="16"/>
      <c r="N11" s="15"/>
      <c r="O11" s="15"/>
      <c r="P11" s="14"/>
      <c r="Q11" s="15"/>
      <c r="R11" s="16"/>
      <c r="S11" s="15"/>
      <c r="T11" s="15"/>
      <c r="U11" s="14"/>
      <c r="V11" s="15"/>
      <c r="W11" s="16"/>
      <c r="X11" s="15"/>
      <c r="Y11" s="16"/>
      <c r="Z11" s="16"/>
      <c r="AA11" s="15"/>
      <c r="AB11" s="16"/>
      <c r="AC11" s="16"/>
      <c r="AD11" s="15"/>
      <c r="AE11" s="14"/>
      <c r="AF11" s="15"/>
      <c r="AG11" s="15"/>
      <c r="AH11" s="14"/>
      <c r="AI11" s="15"/>
      <c r="AJ11" s="16"/>
      <c r="AK11" s="15"/>
    </row>
    <row r="12" spans="2:42">
      <c r="G12" s="15"/>
      <c r="I12" s="26"/>
      <c r="J12" s="26"/>
      <c r="K12" s="55"/>
      <c r="L12" s="26"/>
      <c r="M12" s="56"/>
      <c r="N12" s="26"/>
      <c r="O12" s="26"/>
      <c r="P12" s="55"/>
      <c r="Q12" s="26"/>
      <c r="R12" s="56"/>
      <c r="S12" s="26"/>
      <c r="T12" s="26"/>
      <c r="U12" s="55"/>
      <c r="V12" s="26"/>
      <c r="W12" s="56"/>
      <c r="X12" s="26"/>
      <c r="Y12" s="56"/>
      <c r="Z12" s="57"/>
      <c r="AA12" s="58"/>
      <c r="AB12" s="57"/>
      <c r="AC12" s="57"/>
      <c r="AD12" s="58"/>
      <c r="AE12" s="59"/>
      <c r="AF12" s="58"/>
      <c r="AG12" s="58"/>
      <c r="AH12" s="59"/>
      <c r="AI12" s="58"/>
      <c r="AJ12" s="57"/>
      <c r="AK12" s="15"/>
      <c r="AL12" s="4" t="s">
        <v>117</v>
      </c>
      <c r="AM12" s="89">
        <f>COUNTIF(AM15:AM514,"#N/A")</f>
        <v>0</v>
      </c>
    </row>
    <row r="13" spans="2:42">
      <c r="G13" s="3">
        <f>500-COUNTIF(G15:G514,"")</f>
        <v>1</v>
      </c>
      <c r="I13" s="26"/>
      <c r="J13" s="26"/>
      <c r="K13" s="55"/>
      <c r="L13" s="56"/>
      <c r="M13" s="56"/>
      <c r="N13" s="56"/>
      <c r="O13" s="26"/>
      <c r="P13" s="55"/>
      <c r="Q13" s="56"/>
      <c r="R13" s="56"/>
      <c r="S13" s="56"/>
      <c r="T13" s="26"/>
      <c r="U13" s="55"/>
      <c r="V13" s="56"/>
      <c r="W13" s="56"/>
      <c r="X13" s="56"/>
      <c r="Y13" s="56"/>
      <c r="Z13" s="57"/>
      <c r="AA13" s="57"/>
      <c r="AB13" s="57"/>
      <c r="AC13" s="57"/>
      <c r="AD13" s="57"/>
      <c r="AE13" s="59"/>
      <c r="AF13" s="57"/>
      <c r="AG13" s="57"/>
      <c r="AH13" s="59"/>
      <c r="AI13" s="57"/>
      <c r="AJ13" s="57"/>
    </row>
    <row r="14" spans="2:42">
      <c r="B14" s="20" t="s">
        <v>34</v>
      </c>
      <c r="C14" s="20" t="s">
        <v>4</v>
      </c>
      <c r="D14" s="20" t="s">
        <v>31</v>
      </c>
      <c r="E14" s="21" t="s">
        <v>33</v>
      </c>
      <c r="F14" s="20" t="s">
        <v>5</v>
      </c>
      <c r="G14" s="20" t="s">
        <v>59</v>
      </c>
      <c r="H14" s="25"/>
      <c r="I14" s="18"/>
      <c r="J14" s="18"/>
      <c r="K14" s="55"/>
      <c r="L14" s="20" t="s">
        <v>91</v>
      </c>
      <c r="M14" s="20" t="s">
        <v>92</v>
      </c>
      <c r="N14" s="56"/>
      <c r="O14" s="18"/>
      <c r="P14" s="55"/>
      <c r="Q14" s="20" t="s">
        <v>91</v>
      </c>
      <c r="R14" s="20" t="s">
        <v>92</v>
      </c>
      <c r="S14" s="56"/>
      <c r="T14" s="18"/>
      <c r="U14" s="55"/>
      <c r="V14" s="20" t="s">
        <v>91</v>
      </c>
      <c r="W14" s="20" t="s">
        <v>92</v>
      </c>
      <c r="X14" s="56"/>
      <c r="Y14" s="20" t="s">
        <v>91</v>
      </c>
      <c r="Z14" s="20" t="s">
        <v>92</v>
      </c>
      <c r="AA14" s="57"/>
      <c r="AB14" s="20" t="s">
        <v>91</v>
      </c>
      <c r="AC14" s="20" t="s">
        <v>92</v>
      </c>
      <c r="AD14" s="57"/>
      <c r="AE14" s="20" t="s">
        <v>91</v>
      </c>
      <c r="AF14" s="20" t="s">
        <v>92</v>
      </c>
      <c r="AG14" s="57"/>
      <c r="AH14" s="20" t="s">
        <v>91</v>
      </c>
      <c r="AI14" s="20" t="s">
        <v>92</v>
      </c>
      <c r="AJ14" s="57"/>
      <c r="AL14" s="20" t="s">
        <v>59</v>
      </c>
      <c r="AM14" s="20" t="s">
        <v>97</v>
      </c>
      <c r="AN14" s="20" t="s">
        <v>98</v>
      </c>
      <c r="AO14" s="21" t="s">
        <v>33</v>
      </c>
      <c r="AP14" s="101" t="s">
        <v>142</v>
      </c>
    </row>
    <row r="15" spans="2:42">
      <c r="B15" s="24">
        <v>1</v>
      </c>
      <c r="C15" s="24" t="str">
        <f>LEFT(Inputtext,1)</f>
        <v>h</v>
      </c>
      <c r="D15" s="24" t="str">
        <f>IF(ISERROR(VLOOKUP(C15,Settings!A:B,2,FALSE)),C15,VLOOKUP(C15,Settings!A:B,2,FALSE))</f>
        <v>h</v>
      </c>
      <c r="E15" s="30" t="str">
        <f>UPPER(D15)</f>
        <v>H</v>
      </c>
      <c r="F15" s="24" t="str">
        <f>E15</f>
        <v>H</v>
      </c>
      <c r="G15" s="24" t="str">
        <f>IF(ISNA(VLOOKUP(F15,Settings!G:H,2,FALSE)),"",VLOOKUP(F15,Settings!G:H,2,FALSE))</f>
        <v>L</v>
      </c>
      <c r="H15" s="25"/>
      <c r="I15" s="26"/>
      <c r="J15" s="43" t="s">
        <v>7</v>
      </c>
      <c r="K15" s="45">
        <v>0</v>
      </c>
      <c r="L15" s="31">
        <f>MOD(K15+$L$8,26)</f>
        <v>8</v>
      </c>
      <c r="M15" s="32" t="str">
        <f>VLOOKUP(L15,Settings!K:T,MATCH($L$6,Settings!$K$3:$S$3,0),FALSE)</f>
        <v>V</v>
      </c>
      <c r="N15" s="56"/>
      <c r="O15" s="43" t="s">
        <v>7</v>
      </c>
      <c r="P15" s="45">
        <v>0</v>
      </c>
      <c r="Q15" s="31">
        <f>MOD(P15+Q$8,26)</f>
        <v>8</v>
      </c>
      <c r="R15" s="32" t="str">
        <f>VLOOKUP(Q15,Settings!$K:$S,MATCH(Q$6,Settings!$K$3:$S$3,0),FALSE)</f>
        <v>X</v>
      </c>
      <c r="S15" s="56"/>
      <c r="T15" s="43" t="s">
        <v>7</v>
      </c>
      <c r="U15" s="45">
        <v>0</v>
      </c>
      <c r="V15" s="31">
        <f>MOD(U15+V$8,26)</f>
        <v>2</v>
      </c>
      <c r="W15" s="32" t="str">
        <f>VLOOKUP(V15,Settings!$K:$S,MATCH(V$6,Settings!$K$3:$S$3,0),FALSE)</f>
        <v>F</v>
      </c>
      <c r="X15" s="56"/>
      <c r="Y15" s="31" t="s">
        <v>7</v>
      </c>
      <c r="Z15" s="32" t="str">
        <f>VLOOKUP(Y15,Settings!$J$4:$T$29,11,FALSE)</f>
        <v>Y</v>
      </c>
      <c r="AA15" s="57"/>
      <c r="AB15" s="49" t="str">
        <f>W15</f>
        <v>F</v>
      </c>
      <c r="AC15" s="43" t="s">
        <v>7</v>
      </c>
      <c r="AD15" s="57"/>
      <c r="AE15" s="49" t="str">
        <f>R15</f>
        <v>X</v>
      </c>
      <c r="AF15" s="43" t="s">
        <v>7</v>
      </c>
      <c r="AG15" s="57"/>
      <c r="AH15" s="49" t="str">
        <f>M15</f>
        <v>V</v>
      </c>
      <c r="AI15" s="43" t="s">
        <v>7</v>
      </c>
      <c r="AJ15" s="57"/>
      <c r="AL15" s="29">
        <v>1</v>
      </c>
      <c r="AM15" s="29" t="s">
        <v>44</v>
      </c>
      <c r="AN15" s="29" t="str">
        <f>IF(ISNA(VLOOKUP(AM15,Settings!G:H,2,FALSE)),"",VLOOKUP(AM15,Settings!G:H,2,FALSE))</f>
        <v>O</v>
      </c>
      <c r="AO15" s="30" t="str">
        <f>AN15</f>
        <v>O</v>
      </c>
      <c r="AP15" s="100" t="str">
        <f>SUBSTITUTE(AO514," ","")</f>
        <v>O</v>
      </c>
    </row>
    <row r="16" spans="2:42">
      <c r="B16" s="24">
        <v>2</v>
      </c>
      <c r="C16" s="24" t="str">
        <f t="shared" ref="C16:C79" si="0">MID(Inputtext,B16,1)</f>
        <v/>
      </c>
      <c r="D16" s="24" t="str">
        <f>IF(ISERROR(VLOOKUP(C16,Settings!A:B,2,FALSE)),C16,VLOOKUP(C16,Settings!A:B,2,FALSE))</f>
        <v/>
      </c>
      <c r="E16" s="30" t="str">
        <f>E15&amp;UPPER(D16)</f>
        <v>H</v>
      </c>
      <c r="F16" s="24" t="str">
        <f>MID($E$514,B16,1)</f>
        <v/>
      </c>
      <c r="G16" s="24" t="str">
        <f>IF(ISNA(VLOOKUP(F16,Settings!G:H,2,FALSE)),"",VLOOKUP(F16,Settings!G:H,2,FALSE))</f>
        <v/>
      </c>
      <c r="H16" s="25"/>
      <c r="I16" s="26"/>
      <c r="J16" s="44" t="s">
        <v>19</v>
      </c>
      <c r="K16" s="45">
        <v>1</v>
      </c>
      <c r="L16" s="33">
        <f t="shared" ref="L16:L40" si="1">MOD(K16+$L$8,26)</f>
        <v>9</v>
      </c>
      <c r="M16" s="34" t="str">
        <f>VLOOKUP(L16,Settings!K:T,MATCH($L$6,Settings!$K$3:$S$3,0),FALSE)</f>
        <v>Z</v>
      </c>
      <c r="N16" s="56"/>
      <c r="O16" s="44" t="s">
        <v>19</v>
      </c>
      <c r="P16" s="45">
        <v>1</v>
      </c>
      <c r="Q16" s="33">
        <f t="shared" ref="Q16:Q40" si="2">MOD(P16+Q$8,26)</f>
        <v>9</v>
      </c>
      <c r="R16" s="34" t="str">
        <f>VLOOKUP(Q16,Settings!$K:$S,MATCH(Q$6,Settings!$K$3:$S$3,0),FALSE)</f>
        <v>B</v>
      </c>
      <c r="S16" s="56"/>
      <c r="T16" s="44" t="s">
        <v>19</v>
      </c>
      <c r="U16" s="45">
        <v>1</v>
      </c>
      <c r="V16" s="33">
        <f t="shared" ref="V16:V40" si="3">MOD(U16+V$8,26)</f>
        <v>3</v>
      </c>
      <c r="W16" s="34" t="str">
        <f>VLOOKUP(V16,Settings!$K:$S,MATCH(V$6,Settings!$K$3:$S$3,0),FALSE)</f>
        <v>H</v>
      </c>
      <c r="X16" s="56"/>
      <c r="Y16" s="33" t="s">
        <v>19</v>
      </c>
      <c r="Z16" s="34" t="str">
        <f>VLOOKUP(Y16,Settings!$J$4:$T$29,11,FALSE)</f>
        <v>R</v>
      </c>
      <c r="AA16" s="57"/>
      <c r="AB16" s="50" t="str">
        <f t="shared" ref="AB16:AB40" si="4">W16</f>
        <v>H</v>
      </c>
      <c r="AC16" s="44" t="s">
        <v>19</v>
      </c>
      <c r="AD16" s="57"/>
      <c r="AE16" s="50" t="str">
        <f t="shared" ref="AE16:AE40" si="5">R16</f>
        <v>B</v>
      </c>
      <c r="AF16" s="44" t="s">
        <v>19</v>
      </c>
      <c r="AG16" s="57"/>
      <c r="AH16" s="50" t="str">
        <f t="shared" ref="AH16:AH40" si="6">M16</f>
        <v>Z</v>
      </c>
      <c r="AI16" s="44" t="s">
        <v>19</v>
      </c>
      <c r="AJ16" s="57"/>
      <c r="AL16" s="29">
        <f t="shared" ref="AL16:AL79" si="7">IF(AL15=5,1,AL15+1)</f>
        <v>2</v>
      </c>
      <c r="AM16" s="29"/>
      <c r="AN16" s="29" t="str">
        <f>IF(ISNA(VLOOKUP(AM16,Settings!G:H,2,FALSE)),"",VLOOKUP(AM16,Settings!G:H,2,FALSE))</f>
        <v/>
      </c>
      <c r="AO16" s="30" t="str">
        <f>IF(AL16=1,AO15&amp;" "&amp;AN16,AO15&amp;AN16)</f>
        <v>O</v>
      </c>
      <c r="AP16" s="29" t="s">
        <v>9</v>
      </c>
    </row>
    <row r="17" spans="2:42">
      <c r="B17" s="24">
        <v>3</v>
      </c>
      <c r="C17" s="24" t="str">
        <f t="shared" si="0"/>
        <v/>
      </c>
      <c r="D17" s="24" t="str">
        <f>IF(ISERROR(VLOOKUP(C17,Settings!A:B,2,FALSE)),C17,VLOOKUP(C17,Settings!A:B,2,FALSE))</f>
        <v/>
      </c>
      <c r="E17" s="30" t="str">
        <f t="shared" ref="E17:E80" si="8">E16&amp;UPPER(D17)</f>
        <v>H</v>
      </c>
      <c r="F17" s="24" t="str">
        <f t="shared" ref="F17:F80" si="9">MID($E$514,B17,1)</f>
        <v/>
      </c>
      <c r="G17" s="24" t="str">
        <f>IF(ISNA(VLOOKUP(F17,Settings!G:H,2,FALSE)),"",VLOOKUP(F17,Settings!G:H,2,FALSE))</f>
        <v/>
      </c>
      <c r="H17" s="25"/>
      <c r="I17" s="26"/>
      <c r="J17" s="44" t="s">
        <v>20</v>
      </c>
      <c r="K17" s="45">
        <v>2</v>
      </c>
      <c r="L17" s="33">
        <f t="shared" si="1"/>
        <v>10</v>
      </c>
      <c r="M17" s="34" t="str">
        <f>VLOOKUP(L17,Settings!K:T,MATCH($L$6,Settings!$K$3:$S$3,0),FALSE)</f>
        <v>N</v>
      </c>
      <c r="N17" s="56"/>
      <c r="O17" s="44" t="s">
        <v>20</v>
      </c>
      <c r="P17" s="45">
        <v>2</v>
      </c>
      <c r="Q17" s="33">
        <f t="shared" si="2"/>
        <v>10</v>
      </c>
      <c r="R17" s="34" t="str">
        <f>VLOOKUP(Q17,Settings!$K:$S,MATCH(Q$6,Settings!$K$3:$S$3,0),FALSE)</f>
        <v>L</v>
      </c>
      <c r="S17" s="56"/>
      <c r="T17" s="44" t="s">
        <v>20</v>
      </c>
      <c r="U17" s="45">
        <v>2</v>
      </c>
      <c r="V17" s="33">
        <f t="shared" si="3"/>
        <v>4</v>
      </c>
      <c r="W17" s="34" t="str">
        <f>VLOOKUP(V17,Settings!$K:$S,MATCH(V$6,Settings!$K$3:$S$3,0),FALSE)</f>
        <v>J</v>
      </c>
      <c r="X17" s="56"/>
      <c r="Y17" s="33" t="s">
        <v>20</v>
      </c>
      <c r="Z17" s="34" t="str">
        <f>VLOOKUP(Y17,Settings!$J$4:$T$29,11,FALSE)</f>
        <v>U</v>
      </c>
      <c r="AA17" s="57"/>
      <c r="AB17" s="50" t="str">
        <f t="shared" si="4"/>
        <v>J</v>
      </c>
      <c r="AC17" s="44" t="s">
        <v>20</v>
      </c>
      <c r="AD17" s="57"/>
      <c r="AE17" s="50" t="str">
        <f t="shared" si="5"/>
        <v>L</v>
      </c>
      <c r="AF17" s="44" t="s">
        <v>20</v>
      </c>
      <c r="AG17" s="57"/>
      <c r="AH17" s="50" t="str">
        <f t="shared" si="6"/>
        <v>N</v>
      </c>
      <c r="AI17" s="44" t="s">
        <v>20</v>
      </c>
      <c r="AJ17" s="57"/>
      <c r="AL17" s="29">
        <f t="shared" si="7"/>
        <v>3</v>
      </c>
      <c r="AM17" s="29"/>
      <c r="AN17" s="29" t="str">
        <f>IF(ISNA(VLOOKUP(AM17,Settings!G:H,2,FALSE)),"",VLOOKUP(AM17,Settings!G:H,2,FALSE))</f>
        <v/>
      </c>
      <c r="AO17" s="30" t="str">
        <f t="shared" ref="AO17:AO80" si="10">IF(AL17=1,AO16&amp;" "&amp;AN17,AO16&amp;AN17)</f>
        <v>O</v>
      </c>
      <c r="AP17" s="29" t="s">
        <v>9</v>
      </c>
    </row>
    <row r="18" spans="2:42">
      <c r="B18" s="24">
        <v>4</v>
      </c>
      <c r="C18" s="24" t="str">
        <f t="shared" si="0"/>
        <v/>
      </c>
      <c r="D18" s="24" t="str">
        <f>IF(ISERROR(VLOOKUP(C18,Settings!A:B,2,FALSE)),C18,VLOOKUP(C18,Settings!A:B,2,FALSE))</f>
        <v/>
      </c>
      <c r="E18" s="30" t="str">
        <f t="shared" si="8"/>
        <v>H</v>
      </c>
      <c r="F18" s="24" t="str">
        <f t="shared" si="9"/>
        <v/>
      </c>
      <c r="G18" s="24" t="str">
        <f>IF(ISNA(VLOOKUP(F18,Settings!G:H,2,FALSE)),"",VLOOKUP(F18,Settings!G:H,2,FALSE))</f>
        <v/>
      </c>
      <c r="H18" s="25"/>
      <c r="I18" s="26"/>
      <c r="J18" s="44" t="s">
        <v>35</v>
      </c>
      <c r="K18" s="45">
        <v>3</v>
      </c>
      <c r="L18" s="33">
        <f t="shared" si="1"/>
        <v>11</v>
      </c>
      <c r="M18" s="34" t="str">
        <f>VLOOKUP(L18,Settings!K:T,MATCH($L$6,Settings!$K$3:$S$3,0),FALSE)</f>
        <v>T</v>
      </c>
      <c r="N18" s="56"/>
      <c r="O18" s="44" t="s">
        <v>35</v>
      </c>
      <c r="P18" s="45">
        <v>3</v>
      </c>
      <c r="Q18" s="33">
        <f t="shared" si="2"/>
        <v>11</v>
      </c>
      <c r="R18" s="34" t="str">
        <f>VLOOKUP(Q18,Settings!$K:$S,MATCH(Q$6,Settings!$K$3:$S$3,0),FALSE)</f>
        <v>H</v>
      </c>
      <c r="S18" s="56"/>
      <c r="T18" s="44" t="s">
        <v>35</v>
      </c>
      <c r="U18" s="45">
        <v>3</v>
      </c>
      <c r="V18" s="33">
        <f t="shared" si="3"/>
        <v>5</v>
      </c>
      <c r="W18" s="34" t="str">
        <f>VLOOKUP(V18,Settings!$K:$S,MATCH(V$6,Settings!$K$3:$S$3,0),FALSE)</f>
        <v>L</v>
      </c>
      <c r="X18" s="56"/>
      <c r="Y18" s="33" t="s">
        <v>35</v>
      </c>
      <c r="Z18" s="34" t="str">
        <f>VLOOKUP(Y18,Settings!$J$4:$T$29,11,FALSE)</f>
        <v>H</v>
      </c>
      <c r="AA18" s="57"/>
      <c r="AB18" s="50" t="str">
        <f t="shared" si="4"/>
        <v>L</v>
      </c>
      <c r="AC18" s="44" t="s">
        <v>35</v>
      </c>
      <c r="AD18" s="57"/>
      <c r="AE18" s="50" t="str">
        <f t="shared" si="5"/>
        <v>H</v>
      </c>
      <c r="AF18" s="44" t="s">
        <v>35</v>
      </c>
      <c r="AG18" s="57"/>
      <c r="AH18" s="50" t="str">
        <f t="shared" si="6"/>
        <v>T</v>
      </c>
      <c r="AI18" s="44" t="s">
        <v>35</v>
      </c>
      <c r="AJ18" s="57"/>
      <c r="AL18" s="29">
        <f t="shared" si="7"/>
        <v>4</v>
      </c>
      <c r="AM18" s="29"/>
      <c r="AN18" s="29" t="str">
        <f>IF(ISNA(VLOOKUP(AM18,Settings!G:H,2,FALSE)),"",VLOOKUP(AM18,Settings!G:H,2,FALSE))</f>
        <v/>
      </c>
      <c r="AO18" s="30" t="str">
        <f t="shared" si="10"/>
        <v>O</v>
      </c>
      <c r="AP18" s="29" t="s">
        <v>9</v>
      </c>
    </row>
    <row r="19" spans="2:42">
      <c r="B19" s="24">
        <v>5</v>
      </c>
      <c r="C19" s="24" t="str">
        <f t="shared" si="0"/>
        <v/>
      </c>
      <c r="D19" s="24" t="str">
        <f>IF(ISERROR(VLOOKUP(C19,Settings!A:B,2,FALSE)),C19,VLOOKUP(C19,Settings!A:B,2,FALSE))</f>
        <v/>
      </c>
      <c r="E19" s="30" t="str">
        <f t="shared" si="8"/>
        <v>H</v>
      </c>
      <c r="F19" s="24" t="str">
        <f t="shared" si="9"/>
        <v/>
      </c>
      <c r="G19" s="24" t="str">
        <f>IF(ISNA(VLOOKUP(F19,Settings!G:H,2,FALSE)),"",VLOOKUP(F19,Settings!G:H,2,FALSE))</f>
        <v/>
      </c>
      <c r="H19" s="25"/>
      <c r="I19" s="26"/>
      <c r="J19" s="46" t="s">
        <v>36</v>
      </c>
      <c r="K19" s="45">
        <v>4</v>
      </c>
      <c r="L19" s="35">
        <f t="shared" si="1"/>
        <v>12</v>
      </c>
      <c r="M19" s="36" t="str">
        <f>VLOOKUP(L19,Settings!K:T,MATCH($L$6,Settings!$K$3:$S$3,0),FALSE)</f>
        <v>O</v>
      </c>
      <c r="N19" s="56"/>
      <c r="O19" s="46" t="s">
        <v>36</v>
      </c>
      <c r="P19" s="45">
        <v>4</v>
      </c>
      <c r="Q19" s="35">
        <f t="shared" si="2"/>
        <v>12</v>
      </c>
      <c r="R19" s="36" t="str">
        <f>VLOOKUP(Q19,Settings!$K:$S,MATCH(Q$6,Settings!$K$3:$S$3,0),FALSE)</f>
        <v>W</v>
      </c>
      <c r="S19" s="56"/>
      <c r="T19" s="46" t="s">
        <v>36</v>
      </c>
      <c r="U19" s="45">
        <v>4</v>
      </c>
      <c r="V19" s="35">
        <f t="shared" si="3"/>
        <v>6</v>
      </c>
      <c r="W19" s="36" t="str">
        <f>VLOOKUP(V19,Settings!$K:$S,MATCH(V$6,Settings!$K$3:$S$3,0),FALSE)</f>
        <v>C</v>
      </c>
      <c r="X19" s="56"/>
      <c r="Y19" s="35" t="s">
        <v>36</v>
      </c>
      <c r="Z19" s="36" t="str">
        <f>VLOOKUP(Y19,Settings!$J$4:$T$29,11,FALSE)</f>
        <v>Q</v>
      </c>
      <c r="AA19" s="57"/>
      <c r="AB19" s="51" t="str">
        <f t="shared" si="4"/>
        <v>C</v>
      </c>
      <c r="AC19" s="46" t="s">
        <v>36</v>
      </c>
      <c r="AD19" s="57"/>
      <c r="AE19" s="51" t="str">
        <f t="shared" si="5"/>
        <v>W</v>
      </c>
      <c r="AF19" s="46" t="s">
        <v>36</v>
      </c>
      <c r="AG19" s="57"/>
      <c r="AH19" s="51" t="str">
        <f t="shared" si="6"/>
        <v>O</v>
      </c>
      <c r="AI19" s="46" t="s">
        <v>36</v>
      </c>
      <c r="AJ19" s="57"/>
      <c r="AL19" s="29">
        <f t="shared" si="7"/>
        <v>5</v>
      </c>
      <c r="AM19" s="29"/>
      <c r="AN19" s="29" t="str">
        <f>IF(ISNA(VLOOKUP(AM19,Settings!G:H,2,FALSE)),"",VLOOKUP(AM19,Settings!G:H,2,FALSE))</f>
        <v/>
      </c>
      <c r="AO19" s="30" t="str">
        <f t="shared" si="10"/>
        <v>O</v>
      </c>
      <c r="AP19" s="29" t="s">
        <v>9</v>
      </c>
    </row>
    <row r="20" spans="2:42">
      <c r="B20" s="24">
        <v>6</v>
      </c>
      <c r="C20" s="24" t="str">
        <f t="shared" si="0"/>
        <v/>
      </c>
      <c r="D20" s="24" t="str">
        <f>IF(ISERROR(VLOOKUP(C20,Settings!A:B,2,FALSE)),C20,VLOOKUP(C20,Settings!A:B,2,FALSE))</f>
        <v/>
      </c>
      <c r="E20" s="30" t="str">
        <f t="shared" si="8"/>
        <v>H</v>
      </c>
      <c r="F20" s="24" t="str">
        <f t="shared" si="9"/>
        <v/>
      </c>
      <c r="G20" s="24" t="str">
        <f>IF(ISNA(VLOOKUP(F20,Settings!G:H,2,FALSE)),"",VLOOKUP(F20,Settings!G:H,2,FALSE))</f>
        <v/>
      </c>
      <c r="H20" s="25"/>
      <c r="I20" s="26"/>
      <c r="J20" s="46" t="s">
        <v>37</v>
      </c>
      <c r="K20" s="45">
        <v>5</v>
      </c>
      <c r="L20" s="35">
        <f t="shared" si="1"/>
        <v>13</v>
      </c>
      <c r="M20" s="36" t="str">
        <f>VLOOKUP(L20,Settings!K:T,MATCH($L$6,Settings!$K$3:$S$3,0),FALSE)</f>
        <v>W</v>
      </c>
      <c r="N20" s="56"/>
      <c r="O20" s="46" t="s">
        <v>37</v>
      </c>
      <c r="P20" s="45">
        <v>5</v>
      </c>
      <c r="Q20" s="35">
        <f t="shared" si="2"/>
        <v>13</v>
      </c>
      <c r="R20" s="36" t="str">
        <f>VLOOKUP(Q20,Settings!$K:$S,MATCH(Q$6,Settings!$K$3:$S$3,0),FALSE)</f>
        <v>T</v>
      </c>
      <c r="S20" s="56"/>
      <c r="T20" s="46" t="s">
        <v>37</v>
      </c>
      <c r="U20" s="45">
        <v>5</v>
      </c>
      <c r="V20" s="35">
        <f t="shared" si="3"/>
        <v>7</v>
      </c>
      <c r="W20" s="36" t="str">
        <f>VLOOKUP(V20,Settings!$K:$S,MATCH(V$6,Settings!$K$3:$S$3,0),FALSE)</f>
        <v>P</v>
      </c>
      <c r="X20" s="56"/>
      <c r="Y20" s="35" t="s">
        <v>37</v>
      </c>
      <c r="Z20" s="36" t="str">
        <f>VLOOKUP(Y20,Settings!$J$4:$T$29,11,FALSE)</f>
        <v>S</v>
      </c>
      <c r="AA20" s="57"/>
      <c r="AB20" s="51" t="str">
        <f t="shared" si="4"/>
        <v>P</v>
      </c>
      <c r="AC20" s="46" t="s">
        <v>37</v>
      </c>
      <c r="AD20" s="57"/>
      <c r="AE20" s="51" t="str">
        <f t="shared" si="5"/>
        <v>T</v>
      </c>
      <c r="AF20" s="46" t="s">
        <v>37</v>
      </c>
      <c r="AG20" s="57"/>
      <c r="AH20" s="51" t="str">
        <f t="shared" si="6"/>
        <v>W</v>
      </c>
      <c r="AI20" s="46" t="s">
        <v>37</v>
      </c>
      <c r="AJ20" s="57"/>
      <c r="AL20" s="29">
        <f t="shared" si="7"/>
        <v>1</v>
      </c>
      <c r="AM20" s="29"/>
      <c r="AN20" s="29" t="str">
        <f>IF(ISNA(VLOOKUP(AM20,Settings!G:H,2,FALSE)),"",VLOOKUP(AM20,Settings!G:H,2,FALSE))</f>
        <v/>
      </c>
      <c r="AO20" s="30" t="str">
        <f t="shared" si="10"/>
        <v xml:space="preserve">O </v>
      </c>
      <c r="AP20" s="29" t="s">
        <v>9</v>
      </c>
    </row>
    <row r="21" spans="2:42">
      <c r="B21" s="24">
        <v>7</v>
      </c>
      <c r="C21" s="24" t="str">
        <f t="shared" si="0"/>
        <v/>
      </c>
      <c r="D21" s="24" t="str">
        <f>IF(ISERROR(VLOOKUP(C21,Settings!A:B,2,FALSE)),C21,VLOOKUP(C21,Settings!A:B,2,FALSE))</f>
        <v/>
      </c>
      <c r="E21" s="30" t="str">
        <f t="shared" si="8"/>
        <v>H</v>
      </c>
      <c r="F21" s="24" t="str">
        <f t="shared" si="9"/>
        <v/>
      </c>
      <c r="G21" s="24" t="str">
        <f>IF(ISNA(VLOOKUP(F21,Settings!G:H,2,FALSE)),"",VLOOKUP(F21,Settings!G:H,2,FALSE))</f>
        <v/>
      </c>
      <c r="H21" s="25"/>
      <c r="I21" s="26"/>
      <c r="J21" s="47" t="s">
        <v>38</v>
      </c>
      <c r="K21" s="45">
        <v>6</v>
      </c>
      <c r="L21" s="37">
        <f t="shared" si="1"/>
        <v>14</v>
      </c>
      <c r="M21" s="38" t="str">
        <f>VLOOKUP(L21,Settings!K:T,MATCH($L$6,Settings!$K$3:$S$3,0),FALSE)</f>
        <v>Y</v>
      </c>
      <c r="N21" s="56"/>
      <c r="O21" s="47" t="s">
        <v>38</v>
      </c>
      <c r="P21" s="45">
        <v>6</v>
      </c>
      <c r="Q21" s="37">
        <f t="shared" si="2"/>
        <v>14</v>
      </c>
      <c r="R21" s="38" t="str">
        <f>VLOOKUP(Q21,Settings!$K:$S,MATCH(Q$6,Settings!$K$3:$S$3,0),FALSE)</f>
        <v>M</v>
      </c>
      <c r="S21" s="56"/>
      <c r="T21" s="47" t="s">
        <v>38</v>
      </c>
      <c r="U21" s="45">
        <v>6</v>
      </c>
      <c r="V21" s="37">
        <f t="shared" si="3"/>
        <v>8</v>
      </c>
      <c r="W21" s="38" t="str">
        <f>VLOOKUP(V21,Settings!$K:$S,MATCH(V$6,Settings!$K$3:$S$3,0),FALSE)</f>
        <v>R</v>
      </c>
      <c r="X21" s="56"/>
      <c r="Y21" s="37" t="s">
        <v>38</v>
      </c>
      <c r="Z21" s="38" t="str">
        <f>VLOOKUP(Y21,Settings!$J$4:$T$29,11,FALSE)</f>
        <v>L</v>
      </c>
      <c r="AA21" s="57"/>
      <c r="AB21" s="52" t="str">
        <f t="shared" si="4"/>
        <v>R</v>
      </c>
      <c r="AC21" s="47" t="s">
        <v>38</v>
      </c>
      <c r="AD21" s="57"/>
      <c r="AE21" s="52" t="str">
        <f t="shared" si="5"/>
        <v>M</v>
      </c>
      <c r="AF21" s="47" t="s">
        <v>38</v>
      </c>
      <c r="AG21" s="57"/>
      <c r="AH21" s="52" t="str">
        <f t="shared" si="6"/>
        <v>Y</v>
      </c>
      <c r="AI21" s="47" t="s">
        <v>38</v>
      </c>
      <c r="AJ21" s="57"/>
      <c r="AL21" s="29">
        <f t="shared" si="7"/>
        <v>2</v>
      </c>
      <c r="AM21" s="29"/>
      <c r="AN21" s="29" t="str">
        <f>IF(ISNA(VLOOKUP(AM21,Settings!G:H,2,FALSE)),"",VLOOKUP(AM21,Settings!G:H,2,FALSE))</f>
        <v/>
      </c>
      <c r="AO21" s="30" t="str">
        <f t="shared" si="10"/>
        <v xml:space="preserve">O </v>
      </c>
      <c r="AP21" s="29" t="s">
        <v>9</v>
      </c>
    </row>
    <row r="22" spans="2:42">
      <c r="B22" s="24">
        <v>8</v>
      </c>
      <c r="C22" s="24" t="str">
        <f t="shared" si="0"/>
        <v/>
      </c>
      <c r="D22" s="24" t="str">
        <f>IF(ISERROR(VLOOKUP(C22,Settings!A:B,2,FALSE)),C22,VLOOKUP(C22,Settings!A:B,2,FALSE))</f>
        <v/>
      </c>
      <c r="E22" s="30" t="str">
        <f t="shared" si="8"/>
        <v>H</v>
      </c>
      <c r="F22" s="24" t="str">
        <f t="shared" si="9"/>
        <v/>
      </c>
      <c r="G22" s="24" t="str">
        <f>IF(ISNA(VLOOKUP(F22,Settings!G:H,2,FALSE)),"",VLOOKUP(F22,Settings!G:H,2,FALSE))</f>
        <v/>
      </c>
      <c r="H22" s="25"/>
      <c r="I22" s="26"/>
      <c r="J22" s="47" t="s">
        <v>39</v>
      </c>
      <c r="K22" s="45">
        <v>7</v>
      </c>
      <c r="L22" s="37">
        <f t="shared" si="1"/>
        <v>15</v>
      </c>
      <c r="M22" s="38" t="str">
        <f>VLOOKUP(L22,Settings!K:T,MATCH($L$6,Settings!$K$3:$S$3,0),FALSE)</f>
        <v>H</v>
      </c>
      <c r="N22" s="56"/>
      <c r="O22" s="47" t="s">
        <v>39</v>
      </c>
      <c r="P22" s="45">
        <v>7</v>
      </c>
      <c r="Q22" s="37">
        <f t="shared" si="2"/>
        <v>15</v>
      </c>
      <c r="R22" s="38" t="str">
        <f>VLOOKUP(Q22,Settings!$K:$S,MATCH(Q$6,Settings!$K$3:$S$3,0),FALSE)</f>
        <v>C</v>
      </c>
      <c r="S22" s="56"/>
      <c r="T22" s="47" t="s">
        <v>39</v>
      </c>
      <c r="U22" s="45">
        <v>7</v>
      </c>
      <c r="V22" s="37">
        <f t="shared" si="3"/>
        <v>9</v>
      </c>
      <c r="W22" s="38" t="str">
        <f>VLOOKUP(V22,Settings!$K:$S,MATCH(V$6,Settings!$K$3:$S$3,0),FALSE)</f>
        <v>T</v>
      </c>
      <c r="X22" s="56"/>
      <c r="Y22" s="37" t="s">
        <v>39</v>
      </c>
      <c r="Z22" s="38" t="str">
        <f>VLOOKUP(Y22,Settings!$J$4:$T$29,11,FALSE)</f>
        <v>D</v>
      </c>
      <c r="AA22" s="57"/>
      <c r="AB22" s="52" t="str">
        <f t="shared" si="4"/>
        <v>T</v>
      </c>
      <c r="AC22" s="47" t="s">
        <v>39</v>
      </c>
      <c r="AD22" s="57"/>
      <c r="AE22" s="52" t="str">
        <f t="shared" si="5"/>
        <v>C</v>
      </c>
      <c r="AF22" s="47" t="s">
        <v>39</v>
      </c>
      <c r="AG22" s="57"/>
      <c r="AH22" s="52" t="str">
        <f t="shared" si="6"/>
        <v>H</v>
      </c>
      <c r="AI22" s="47" t="s">
        <v>39</v>
      </c>
      <c r="AJ22" s="57"/>
      <c r="AL22" s="29">
        <f t="shared" si="7"/>
        <v>3</v>
      </c>
      <c r="AM22" s="29"/>
      <c r="AN22" s="29" t="str">
        <f>IF(ISNA(VLOOKUP(AM22,Settings!G:H,2,FALSE)),"",VLOOKUP(AM22,Settings!G:H,2,FALSE))</f>
        <v/>
      </c>
      <c r="AO22" s="30" t="str">
        <f t="shared" si="10"/>
        <v xml:space="preserve">O </v>
      </c>
      <c r="AP22" s="29" t="s">
        <v>9</v>
      </c>
    </row>
    <row r="23" spans="2:42">
      <c r="B23" s="24">
        <v>9</v>
      </c>
      <c r="C23" s="24" t="str">
        <f t="shared" si="0"/>
        <v/>
      </c>
      <c r="D23" s="24" t="str">
        <f>IF(ISERROR(VLOOKUP(C23,Settings!A:B,2,FALSE)),C23,VLOOKUP(C23,Settings!A:B,2,FALSE))</f>
        <v/>
      </c>
      <c r="E23" s="30" t="str">
        <f t="shared" si="8"/>
        <v>H</v>
      </c>
      <c r="F23" s="24" t="str">
        <f t="shared" si="9"/>
        <v/>
      </c>
      <c r="G23" s="24" t="str">
        <f>IF(ISNA(VLOOKUP(F23,Settings!G:H,2,FALSE)),"",VLOOKUP(F23,Settings!G:H,2,FALSE))</f>
        <v/>
      </c>
      <c r="H23" s="25"/>
      <c r="I23" s="26"/>
      <c r="J23" s="47" t="s">
        <v>40</v>
      </c>
      <c r="K23" s="45">
        <v>8</v>
      </c>
      <c r="L23" s="37">
        <f t="shared" si="1"/>
        <v>16</v>
      </c>
      <c r="M23" s="38" t="str">
        <f>VLOOKUP(L23,Settings!K:T,MATCH($L$6,Settings!$K$3:$S$3,0),FALSE)</f>
        <v>X</v>
      </c>
      <c r="N23" s="56"/>
      <c r="O23" s="47" t="s">
        <v>40</v>
      </c>
      <c r="P23" s="45">
        <v>8</v>
      </c>
      <c r="Q23" s="37">
        <f t="shared" si="2"/>
        <v>16</v>
      </c>
      <c r="R23" s="38" t="str">
        <f>VLOOKUP(Q23,Settings!$K:$S,MATCH(Q$6,Settings!$K$3:$S$3,0),FALSE)</f>
        <v>Q</v>
      </c>
      <c r="S23" s="56"/>
      <c r="T23" s="47" t="s">
        <v>40</v>
      </c>
      <c r="U23" s="45">
        <v>8</v>
      </c>
      <c r="V23" s="37">
        <f t="shared" si="3"/>
        <v>10</v>
      </c>
      <c r="W23" s="38" t="str">
        <f>VLOOKUP(V23,Settings!$K:$S,MATCH(V$6,Settings!$K$3:$S$3,0),FALSE)</f>
        <v>X</v>
      </c>
      <c r="X23" s="56"/>
      <c r="Y23" s="37" t="s">
        <v>40</v>
      </c>
      <c r="Z23" s="38" t="str">
        <f>VLOOKUP(Y23,Settings!$J$4:$T$29,11,FALSE)</f>
        <v>P</v>
      </c>
      <c r="AA23" s="57"/>
      <c r="AB23" s="52" t="str">
        <f t="shared" si="4"/>
        <v>X</v>
      </c>
      <c r="AC23" s="47" t="s">
        <v>40</v>
      </c>
      <c r="AD23" s="57"/>
      <c r="AE23" s="52" t="str">
        <f t="shared" si="5"/>
        <v>Q</v>
      </c>
      <c r="AF23" s="47" t="s">
        <v>40</v>
      </c>
      <c r="AG23" s="57"/>
      <c r="AH23" s="52" t="str">
        <f t="shared" si="6"/>
        <v>X</v>
      </c>
      <c r="AI23" s="47" t="s">
        <v>40</v>
      </c>
      <c r="AJ23" s="57"/>
      <c r="AL23" s="29">
        <f t="shared" si="7"/>
        <v>4</v>
      </c>
      <c r="AM23" s="29"/>
      <c r="AN23" s="29" t="str">
        <f>IF(ISNA(VLOOKUP(AM23,Settings!G:H,2,FALSE)),"",VLOOKUP(AM23,Settings!G:H,2,FALSE))</f>
        <v/>
      </c>
      <c r="AO23" s="30" t="str">
        <f t="shared" si="10"/>
        <v xml:space="preserve">O </v>
      </c>
      <c r="AP23" s="29" t="s">
        <v>9</v>
      </c>
    </row>
    <row r="24" spans="2:42">
      <c r="B24" s="24">
        <v>10</v>
      </c>
      <c r="C24" s="24" t="str">
        <f t="shared" si="0"/>
        <v/>
      </c>
      <c r="D24" s="24" t="str">
        <f>IF(ISERROR(VLOOKUP(C24,Settings!A:B,2,FALSE)),C24,VLOOKUP(C24,Settings!A:B,2,FALSE))</f>
        <v/>
      </c>
      <c r="E24" s="30" t="str">
        <f t="shared" si="8"/>
        <v>H</v>
      </c>
      <c r="F24" s="24" t="str">
        <f t="shared" si="9"/>
        <v/>
      </c>
      <c r="G24" s="24" t="str">
        <f>IF(ISNA(VLOOKUP(F24,Settings!G:H,2,FALSE)),"",VLOOKUP(F24,Settings!G:H,2,FALSE))</f>
        <v/>
      </c>
      <c r="H24" s="25"/>
      <c r="I24" s="26"/>
      <c r="J24" s="48" t="s">
        <v>41</v>
      </c>
      <c r="K24" s="45">
        <v>9</v>
      </c>
      <c r="L24" s="39">
        <f t="shared" si="1"/>
        <v>17</v>
      </c>
      <c r="M24" s="40" t="str">
        <f>VLOOKUP(L24,Settings!K:T,MATCH($L$6,Settings!$K$3:$S$3,0),FALSE)</f>
        <v>U</v>
      </c>
      <c r="N24" s="56"/>
      <c r="O24" s="48" t="s">
        <v>41</v>
      </c>
      <c r="P24" s="45">
        <v>9</v>
      </c>
      <c r="Q24" s="39">
        <f t="shared" si="2"/>
        <v>17</v>
      </c>
      <c r="R24" s="40" t="str">
        <f>VLOOKUP(Q24,Settings!$K:$S,MATCH(Q$6,Settings!$K$3:$S$3,0),FALSE)</f>
        <v>G</v>
      </c>
      <c r="S24" s="56"/>
      <c r="T24" s="48" t="s">
        <v>41</v>
      </c>
      <c r="U24" s="45">
        <v>9</v>
      </c>
      <c r="V24" s="39">
        <f t="shared" si="3"/>
        <v>11</v>
      </c>
      <c r="W24" s="40" t="str">
        <f>VLOOKUP(V24,Settings!$K:$S,MATCH(V$6,Settings!$K$3:$S$3,0),FALSE)</f>
        <v>V</v>
      </c>
      <c r="X24" s="56"/>
      <c r="Y24" s="39" t="s">
        <v>41</v>
      </c>
      <c r="Z24" s="40" t="str">
        <f>VLOOKUP(Y24,Settings!$J$4:$T$29,11,FALSE)</f>
        <v>X</v>
      </c>
      <c r="AA24" s="57"/>
      <c r="AB24" s="53" t="str">
        <f t="shared" si="4"/>
        <v>V</v>
      </c>
      <c r="AC24" s="48" t="s">
        <v>41</v>
      </c>
      <c r="AD24" s="57"/>
      <c r="AE24" s="53" t="str">
        <f t="shared" si="5"/>
        <v>G</v>
      </c>
      <c r="AF24" s="48" t="s">
        <v>41</v>
      </c>
      <c r="AG24" s="57"/>
      <c r="AH24" s="53" t="str">
        <f t="shared" si="6"/>
        <v>U</v>
      </c>
      <c r="AI24" s="48" t="s">
        <v>41</v>
      </c>
      <c r="AJ24" s="57"/>
      <c r="AL24" s="29">
        <f t="shared" si="7"/>
        <v>5</v>
      </c>
      <c r="AM24" s="29"/>
      <c r="AN24" s="29" t="str">
        <f>IF(ISNA(VLOOKUP(AM24,Settings!G:H,2,FALSE)),"",VLOOKUP(AM24,Settings!G:H,2,FALSE))</f>
        <v/>
      </c>
      <c r="AO24" s="30" t="str">
        <f t="shared" si="10"/>
        <v xml:space="preserve">O </v>
      </c>
      <c r="AP24" s="29" t="s">
        <v>9</v>
      </c>
    </row>
    <row r="25" spans="2:42">
      <c r="B25" s="24">
        <v>11</v>
      </c>
      <c r="C25" s="24" t="str">
        <f t="shared" si="0"/>
        <v/>
      </c>
      <c r="D25" s="24" t="str">
        <f>IF(ISERROR(VLOOKUP(C25,Settings!A:B,2,FALSE)),C25,VLOOKUP(C25,Settings!A:B,2,FALSE))</f>
        <v/>
      </c>
      <c r="E25" s="30" t="str">
        <f t="shared" si="8"/>
        <v>H</v>
      </c>
      <c r="F25" s="24" t="str">
        <f t="shared" si="9"/>
        <v/>
      </c>
      <c r="G25" s="24" t="str">
        <f>IF(ISNA(VLOOKUP(F25,Settings!G:H,2,FALSE)),"",VLOOKUP(F25,Settings!G:H,2,FALSE))</f>
        <v/>
      </c>
      <c r="H25" s="25"/>
      <c r="I25" s="26"/>
      <c r="J25" s="48" t="s">
        <v>42</v>
      </c>
      <c r="K25" s="45">
        <v>10</v>
      </c>
      <c r="L25" s="39">
        <f t="shared" si="1"/>
        <v>18</v>
      </c>
      <c r="M25" s="40" t="str">
        <f>VLOOKUP(L25,Settings!K:T,MATCH($L$6,Settings!$K$3:$S$3,0),FALSE)</f>
        <v>S</v>
      </c>
      <c r="N25" s="56"/>
      <c r="O25" s="48" t="s">
        <v>42</v>
      </c>
      <c r="P25" s="45">
        <v>10</v>
      </c>
      <c r="Q25" s="39">
        <f t="shared" si="2"/>
        <v>18</v>
      </c>
      <c r="R25" s="40" t="str">
        <f>VLOOKUP(Q25,Settings!$K:$S,MATCH(Q$6,Settings!$K$3:$S$3,0),FALSE)</f>
        <v>Z</v>
      </c>
      <c r="S25" s="56"/>
      <c r="T25" s="48" t="s">
        <v>42</v>
      </c>
      <c r="U25" s="45">
        <v>10</v>
      </c>
      <c r="V25" s="39">
        <f t="shared" si="3"/>
        <v>12</v>
      </c>
      <c r="W25" s="40" t="str">
        <f>VLOOKUP(V25,Settings!$K:$S,MATCH(V$6,Settings!$K$3:$S$3,0),FALSE)</f>
        <v>Z</v>
      </c>
      <c r="X25" s="56"/>
      <c r="Y25" s="39" t="s">
        <v>42</v>
      </c>
      <c r="Z25" s="40" t="str">
        <f>VLOOKUP(Y25,Settings!$J$4:$T$29,11,FALSE)</f>
        <v>N</v>
      </c>
      <c r="AA25" s="57"/>
      <c r="AB25" s="53" t="str">
        <f t="shared" si="4"/>
        <v>Z</v>
      </c>
      <c r="AC25" s="48" t="s">
        <v>42</v>
      </c>
      <c r="AD25" s="57"/>
      <c r="AE25" s="53" t="str">
        <f t="shared" si="5"/>
        <v>Z</v>
      </c>
      <c r="AF25" s="48" t="s">
        <v>42</v>
      </c>
      <c r="AG25" s="57"/>
      <c r="AH25" s="53" t="str">
        <f t="shared" si="6"/>
        <v>S</v>
      </c>
      <c r="AI25" s="48" t="s">
        <v>42</v>
      </c>
      <c r="AJ25" s="57"/>
      <c r="AL25" s="29">
        <f t="shared" si="7"/>
        <v>1</v>
      </c>
      <c r="AM25" s="29"/>
      <c r="AN25" s="29" t="str">
        <f>IF(ISNA(VLOOKUP(AM25,Settings!G:H,2,FALSE)),"",VLOOKUP(AM25,Settings!G:H,2,FALSE))</f>
        <v/>
      </c>
      <c r="AO25" s="30" t="str">
        <f t="shared" si="10"/>
        <v xml:space="preserve">O  </v>
      </c>
      <c r="AP25" s="29" t="s">
        <v>9</v>
      </c>
    </row>
    <row r="26" spans="2:42">
      <c r="B26" s="24">
        <v>12</v>
      </c>
      <c r="C26" s="24" t="str">
        <f t="shared" si="0"/>
        <v/>
      </c>
      <c r="D26" s="24" t="str">
        <f>IF(ISERROR(VLOOKUP(C26,Settings!A:B,2,FALSE)),C26,VLOOKUP(C26,Settings!A:B,2,FALSE))</f>
        <v/>
      </c>
      <c r="E26" s="30" t="str">
        <f t="shared" si="8"/>
        <v>H</v>
      </c>
      <c r="F26" s="24" t="str">
        <f t="shared" si="9"/>
        <v/>
      </c>
      <c r="G26" s="24" t="str">
        <f>IF(ISNA(VLOOKUP(F26,Settings!G:H,2,FALSE)),"",VLOOKUP(F26,Settings!G:H,2,FALSE))</f>
        <v/>
      </c>
      <c r="H26" s="25"/>
      <c r="I26" s="26"/>
      <c r="J26" s="48" t="s">
        <v>43</v>
      </c>
      <c r="K26" s="45">
        <v>11</v>
      </c>
      <c r="L26" s="39">
        <f t="shared" si="1"/>
        <v>19</v>
      </c>
      <c r="M26" s="40" t="str">
        <f>VLOOKUP(L26,Settings!K:T,MATCH($L$6,Settings!$K$3:$S$3,0),FALSE)</f>
        <v>P</v>
      </c>
      <c r="N26" s="56"/>
      <c r="O26" s="48" t="s">
        <v>43</v>
      </c>
      <c r="P26" s="45">
        <v>11</v>
      </c>
      <c r="Q26" s="39">
        <f t="shared" si="2"/>
        <v>19</v>
      </c>
      <c r="R26" s="40" t="str">
        <f>VLOOKUP(Q26,Settings!$K:$S,MATCH(Q$6,Settings!$K$3:$S$3,0),FALSE)</f>
        <v>N</v>
      </c>
      <c r="S26" s="56"/>
      <c r="T26" s="48" t="s">
        <v>43</v>
      </c>
      <c r="U26" s="45">
        <v>11</v>
      </c>
      <c r="V26" s="39">
        <f t="shared" si="3"/>
        <v>13</v>
      </c>
      <c r="W26" s="40" t="str">
        <f>VLOOKUP(V26,Settings!$K:$S,MATCH(V$6,Settings!$K$3:$S$3,0),FALSE)</f>
        <v>N</v>
      </c>
      <c r="X26" s="56"/>
      <c r="Y26" s="39" t="s">
        <v>43</v>
      </c>
      <c r="Z26" s="40" t="str">
        <f>VLOOKUP(Y26,Settings!$J$4:$T$29,11,FALSE)</f>
        <v>G</v>
      </c>
      <c r="AA26" s="57"/>
      <c r="AB26" s="53" t="str">
        <f t="shared" si="4"/>
        <v>N</v>
      </c>
      <c r="AC26" s="48" t="s">
        <v>43</v>
      </c>
      <c r="AD26" s="57"/>
      <c r="AE26" s="53" t="str">
        <f t="shared" si="5"/>
        <v>N</v>
      </c>
      <c r="AF26" s="48" t="s">
        <v>43</v>
      </c>
      <c r="AG26" s="57"/>
      <c r="AH26" s="53" t="str">
        <f t="shared" si="6"/>
        <v>P</v>
      </c>
      <c r="AI26" s="48" t="s">
        <v>43</v>
      </c>
      <c r="AJ26" s="57"/>
      <c r="AL26" s="29">
        <f t="shared" si="7"/>
        <v>2</v>
      </c>
      <c r="AM26" s="29"/>
      <c r="AN26" s="29" t="str">
        <f>IF(ISNA(VLOOKUP(AM26,Settings!G:H,2,FALSE)),"",VLOOKUP(AM26,Settings!G:H,2,FALSE))</f>
        <v/>
      </c>
      <c r="AO26" s="30" t="str">
        <f t="shared" si="10"/>
        <v xml:space="preserve">O  </v>
      </c>
      <c r="AP26" s="29" t="s">
        <v>9</v>
      </c>
    </row>
    <row r="27" spans="2:42">
      <c r="B27" s="24">
        <v>13</v>
      </c>
      <c r="C27" s="24" t="str">
        <f t="shared" si="0"/>
        <v/>
      </c>
      <c r="D27" s="24" t="str">
        <f>IF(ISERROR(VLOOKUP(C27,Settings!A:B,2,FALSE)),C27,VLOOKUP(C27,Settings!A:B,2,FALSE))</f>
        <v/>
      </c>
      <c r="E27" s="30" t="str">
        <f t="shared" si="8"/>
        <v>H</v>
      </c>
      <c r="F27" s="24" t="str">
        <f t="shared" si="9"/>
        <v/>
      </c>
      <c r="G27" s="24" t="str">
        <f>IF(ISNA(VLOOKUP(F27,Settings!G:H,2,FALSE)),"",VLOOKUP(F27,Settings!G:H,2,FALSE))</f>
        <v/>
      </c>
      <c r="H27" s="25"/>
      <c r="I27" s="26"/>
      <c r="J27" s="48" t="s">
        <v>44</v>
      </c>
      <c r="K27" s="45">
        <v>12</v>
      </c>
      <c r="L27" s="39">
        <f t="shared" si="1"/>
        <v>20</v>
      </c>
      <c r="M27" s="40" t="str">
        <f>VLOOKUP(L27,Settings!K:T,MATCH($L$6,Settings!$K$3:$S$3,0),FALSE)</f>
        <v>A</v>
      </c>
      <c r="N27" s="56"/>
      <c r="O27" s="48" t="s">
        <v>44</v>
      </c>
      <c r="P27" s="45">
        <v>12</v>
      </c>
      <c r="Q27" s="39">
        <f t="shared" si="2"/>
        <v>20</v>
      </c>
      <c r="R27" s="40" t="str">
        <f>VLOOKUP(Q27,Settings!$K:$S,MATCH(Q$6,Settings!$K$3:$S$3,0),FALSE)</f>
        <v>P</v>
      </c>
      <c r="S27" s="56"/>
      <c r="T27" s="48" t="s">
        <v>44</v>
      </c>
      <c r="U27" s="45">
        <v>12</v>
      </c>
      <c r="V27" s="39">
        <f t="shared" si="3"/>
        <v>14</v>
      </c>
      <c r="W27" s="40" t="str">
        <f>VLOOKUP(V27,Settings!$K:$S,MATCH(V$6,Settings!$K$3:$S$3,0),FALSE)</f>
        <v>Y</v>
      </c>
      <c r="X27" s="56"/>
      <c r="Y27" s="39" t="s">
        <v>44</v>
      </c>
      <c r="Z27" s="40" t="str">
        <f>VLOOKUP(Y27,Settings!$J$4:$T$29,11,FALSE)</f>
        <v>O</v>
      </c>
      <c r="AA27" s="57"/>
      <c r="AB27" s="53" t="str">
        <f t="shared" si="4"/>
        <v>Y</v>
      </c>
      <c r="AC27" s="48" t="s">
        <v>44</v>
      </c>
      <c r="AD27" s="57"/>
      <c r="AE27" s="53" t="str">
        <f t="shared" si="5"/>
        <v>P</v>
      </c>
      <c r="AF27" s="48" t="s">
        <v>44</v>
      </c>
      <c r="AG27" s="57"/>
      <c r="AH27" s="53" t="str">
        <f t="shared" si="6"/>
        <v>A</v>
      </c>
      <c r="AI27" s="48" t="s">
        <v>44</v>
      </c>
      <c r="AJ27" s="57"/>
      <c r="AL27" s="29">
        <f t="shared" si="7"/>
        <v>3</v>
      </c>
      <c r="AM27" s="29"/>
      <c r="AN27" s="29" t="str">
        <f>IF(ISNA(VLOOKUP(AM27,Settings!G:H,2,FALSE)),"",VLOOKUP(AM27,Settings!G:H,2,FALSE))</f>
        <v/>
      </c>
      <c r="AO27" s="30" t="str">
        <f t="shared" si="10"/>
        <v xml:space="preserve">O  </v>
      </c>
      <c r="AP27" s="29" t="s">
        <v>9</v>
      </c>
    </row>
    <row r="28" spans="2:42">
      <c r="B28" s="24">
        <v>14</v>
      </c>
      <c r="C28" s="24" t="str">
        <f t="shared" si="0"/>
        <v/>
      </c>
      <c r="D28" s="24" t="str">
        <f>IF(ISERROR(VLOOKUP(C28,Settings!A:B,2,FALSE)),C28,VLOOKUP(C28,Settings!A:B,2,FALSE))</f>
        <v/>
      </c>
      <c r="E28" s="30" t="str">
        <f t="shared" si="8"/>
        <v>H</v>
      </c>
      <c r="F28" s="24" t="str">
        <f t="shared" si="9"/>
        <v/>
      </c>
      <c r="G28" s="24" t="str">
        <f>IF(ISNA(VLOOKUP(F28,Settings!G:H,2,FALSE)),"",VLOOKUP(F28,Settings!G:H,2,FALSE))</f>
        <v/>
      </c>
      <c r="H28" s="25"/>
      <c r="I28" s="26"/>
      <c r="J28" s="48" t="s">
        <v>45</v>
      </c>
      <c r="K28" s="45">
        <v>13</v>
      </c>
      <c r="L28" s="39">
        <f t="shared" si="1"/>
        <v>21</v>
      </c>
      <c r="M28" s="40" t="str">
        <f>VLOOKUP(L28,Settings!K:T,MATCH($L$6,Settings!$K$3:$S$3,0),FALSE)</f>
        <v>I</v>
      </c>
      <c r="N28" s="56"/>
      <c r="O28" s="48" t="s">
        <v>45</v>
      </c>
      <c r="P28" s="45">
        <v>13</v>
      </c>
      <c r="Q28" s="39">
        <f t="shared" si="2"/>
        <v>21</v>
      </c>
      <c r="R28" s="40" t="str">
        <f>VLOOKUP(Q28,Settings!$K:$S,MATCH(Q$6,Settings!$K$3:$S$3,0),FALSE)</f>
        <v>Y</v>
      </c>
      <c r="S28" s="56"/>
      <c r="T28" s="48" t="s">
        <v>45</v>
      </c>
      <c r="U28" s="45">
        <v>13</v>
      </c>
      <c r="V28" s="39">
        <f t="shared" si="3"/>
        <v>15</v>
      </c>
      <c r="W28" s="40" t="str">
        <f>VLOOKUP(V28,Settings!$K:$S,MATCH(V$6,Settings!$K$3:$S$3,0),FALSE)</f>
        <v>E</v>
      </c>
      <c r="X28" s="56"/>
      <c r="Y28" s="39" t="s">
        <v>45</v>
      </c>
      <c r="Z28" s="40" t="str">
        <f>VLOOKUP(Y28,Settings!$J$4:$T$29,11,FALSE)</f>
        <v>K</v>
      </c>
      <c r="AA28" s="57"/>
      <c r="AB28" s="53" t="str">
        <f t="shared" si="4"/>
        <v>E</v>
      </c>
      <c r="AC28" s="48" t="s">
        <v>45</v>
      </c>
      <c r="AD28" s="57"/>
      <c r="AE28" s="53" t="str">
        <f t="shared" si="5"/>
        <v>Y</v>
      </c>
      <c r="AF28" s="48" t="s">
        <v>45</v>
      </c>
      <c r="AG28" s="57"/>
      <c r="AH28" s="53" t="str">
        <f t="shared" si="6"/>
        <v>I</v>
      </c>
      <c r="AI28" s="48" t="s">
        <v>45</v>
      </c>
      <c r="AJ28" s="57"/>
      <c r="AL28" s="29">
        <f t="shared" si="7"/>
        <v>4</v>
      </c>
      <c r="AM28" s="29"/>
      <c r="AN28" s="29" t="str">
        <f>IF(ISNA(VLOOKUP(AM28,Settings!G:H,2,FALSE)),"",VLOOKUP(AM28,Settings!G:H,2,FALSE))</f>
        <v/>
      </c>
      <c r="AO28" s="30" t="str">
        <f t="shared" si="10"/>
        <v xml:space="preserve">O  </v>
      </c>
      <c r="AP28" s="29" t="s">
        <v>9</v>
      </c>
    </row>
    <row r="29" spans="2:42">
      <c r="B29" s="24">
        <v>15</v>
      </c>
      <c r="C29" s="24" t="str">
        <f t="shared" si="0"/>
        <v/>
      </c>
      <c r="D29" s="24" t="str">
        <f>IF(ISERROR(VLOOKUP(C29,Settings!A:B,2,FALSE)),C29,VLOOKUP(C29,Settings!A:B,2,FALSE))</f>
        <v/>
      </c>
      <c r="E29" s="30" t="str">
        <f t="shared" si="8"/>
        <v>H</v>
      </c>
      <c r="F29" s="24" t="str">
        <f t="shared" si="9"/>
        <v/>
      </c>
      <c r="G29" s="24" t="str">
        <f>IF(ISNA(VLOOKUP(F29,Settings!G:H,2,FALSE)),"",VLOOKUP(F29,Settings!G:H,2,FALSE))</f>
        <v/>
      </c>
      <c r="H29" s="25"/>
      <c r="I29" s="26"/>
      <c r="J29" s="48" t="s">
        <v>46</v>
      </c>
      <c r="K29" s="45">
        <v>14</v>
      </c>
      <c r="L29" s="39">
        <f t="shared" si="1"/>
        <v>22</v>
      </c>
      <c r="M29" s="40" t="str">
        <f>VLOOKUP(L29,Settings!K:T,MATCH($L$6,Settings!$K$3:$S$3,0),FALSE)</f>
        <v>B</v>
      </c>
      <c r="N29" s="56"/>
      <c r="O29" s="48" t="s">
        <v>46</v>
      </c>
      <c r="P29" s="45">
        <v>14</v>
      </c>
      <c r="Q29" s="39">
        <f t="shared" si="2"/>
        <v>22</v>
      </c>
      <c r="R29" s="40" t="str">
        <f>VLOOKUP(Q29,Settings!$K:$S,MATCH(Q$6,Settings!$K$3:$S$3,0),FALSE)</f>
        <v>F</v>
      </c>
      <c r="S29" s="56"/>
      <c r="T29" s="48" t="s">
        <v>46</v>
      </c>
      <c r="U29" s="45">
        <v>14</v>
      </c>
      <c r="V29" s="39">
        <f t="shared" si="3"/>
        <v>16</v>
      </c>
      <c r="W29" s="40" t="str">
        <f>VLOOKUP(V29,Settings!$K:$S,MATCH(V$6,Settings!$K$3:$S$3,0),FALSE)</f>
        <v>I</v>
      </c>
      <c r="X29" s="56"/>
      <c r="Y29" s="39" t="s">
        <v>46</v>
      </c>
      <c r="Z29" s="40" t="str">
        <f>VLOOKUP(Y29,Settings!$J$4:$T$29,11,FALSE)</f>
        <v>M</v>
      </c>
      <c r="AA29" s="57"/>
      <c r="AB29" s="53" t="str">
        <f t="shared" si="4"/>
        <v>I</v>
      </c>
      <c r="AC29" s="48" t="s">
        <v>46</v>
      </c>
      <c r="AD29" s="57"/>
      <c r="AE29" s="53" t="str">
        <f t="shared" si="5"/>
        <v>F</v>
      </c>
      <c r="AF29" s="48" t="s">
        <v>46</v>
      </c>
      <c r="AG29" s="57"/>
      <c r="AH29" s="53" t="str">
        <f t="shared" si="6"/>
        <v>B</v>
      </c>
      <c r="AI29" s="48" t="s">
        <v>46</v>
      </c>
      <c r="AJ29" s="57"/>
      <c r="AL29" s="29">
        <f t="shared" si="7"/>
        <v>5</v>
      </c>
      <c r="AM29" s="29"/>
      <c r="AN29" s="29" t="str">
        <f>IF(ISNA(VLOOKUP(AM29,Settings!G:H,2,FALSE)),"",VLOOKUP(AM29,Settings!G:H,2,FALSE))</f>
        <v/>
      </c>
      <c r="AO29" s="30" t="str">
        <f t="shared" si="10"/>
        <v xml:space="preserve">O  </v>
      </c>
      <c r="AP29" s="29" t="s">
        <v>9</v>
      </c>
    </row>
    <row r="30" spans="2:42">
      <c r="B30" s="24">
        <v>16</v>
      </c>
      <c r="C30" s="24" t="str">
        <f t="shared" si="0"/>
        <v/>
      </c>
      <c r="D30" s="24" t="str">
        <f>IF(ISERROR(VLOOKUP(C30,Settings!A:B,2,FALSE)),C30,VLOOKUP(C30,Settings!A:B,2,FALSE))</f>
        <v/>
      </c>
      <c r="E30" s="30" t="str">
        <f t="shared" si="8"/>
        <v>H</v>
      </c>
      <c r="F30" s="24" t="str">
        <f t="shared" si="9"/>
        <v/>
      </c>
      <c r="G30" s="24" t="str">
        <f>IF(ISNA(VLOOKUP(F30,Settings!G:H,2,FALSE)),"",VLOOKUP(F30,Settings!G:H,2,FALSE))</f>
        <v/>
      </c>
      <c r="H30" s="25"/>
      <c r="I30" s="26"/>
      <c r="J30" s="47" t="s">
        <v>47</v>
      </c>
      <c r="K30" s="45">
        <v>15</v>
      </c>
      <c r="L30" s="37">
        <f t="shared" si="1"/>
        <v>23</v>
      </c>
      <c r="M30" s="38" t="str">
        <f>VLOOKUP(L30,Settings!K:T,MATCH($L$6,Settings!$K$3:$S$3,0),FALSE)</f>
        <v>R</v>
      </c>
      <c r="N30" s="56"/>
      <c r="O30" s="47" t="s">
        <v>47</v>
      </c>
      <c r="P30" s="45">
        <v>15</v>
      </c>
      <c r="Q30" s="37">
        <f t="shared" si="2"/>
        <v>23</v>
      </c>
      <c r="R30" s="38" t="str">
        <f>VLOOKUP(Q30,Settings!$K:$S,MATCH(Q$6,Settings!$K$3:$S$3,0),FALSE)</f>
        <v>V</v>
      </c>
      <c r="S30" s="56"/>
      <c r="T30" s="47" t="s">
        <v>47</v>
      </c>
      <c r="U30" s="45">
        <v>15</v>
      </c>
      <c r="V30" s="37">
        <f t="shared" si="3"/>
        <v>17</v>
      </c>
      <c r="W30" s="38" t="str">
        <f>VLOOKUP(V30,Settings!$K:$S,MATCH(V$6,Settings!$K$3:$S$3,0),FALSE)</f>
        <v>W</v>
      </c>
      <c r="X30" s="56"/>
      <c r="Y30" s="37" t="s">
        <v>47</v>
      </c>
      <c r="Z30" s="38" t="str">
        <f>VLOOKUP(Y30,Settings!$J$4:$T$29,11,FALSE)</f>
        <v>I</v>
      </c>
      <c r="AA30" s="57"/>
      <c r="AB30" s="52" t="str">
        <f t="shared" si="4"/>
        <v>W</v>
      </c>
      <c r="AC30" s="47" t="s">
        <v>47</v>
      </c>
      <c r="AD30" s="57"/>
      <c r="AE30" s="52" t="str">
        <f t="shared" si="5"/>
        <v>V</v>
      </c>
      <c r="AF30" s="47" t="s">
        <v>47</v>
      </c>
      <c r="AG30" s="57"/>
      <c r="AH30" s="52" t="str">
        <f t="shared" si="6"/>
        <v>R</v>
      </c>
      <c r="AI30" s="47" t="s">
        <v>47</v>
      </c>
      <c r="AJ30" s="57"/>
      <c r="AL30" s="29">
        <f t="shared" si="7"/>
        <v>1</v>
      </c>
      <c r="AM30" s="29"/>
      <c r="AN30" s="29" t="str">
        <f>IF(ISNA(VLOOKUP(AM30,Settings!G:H,2,FALSE)),"",VLOOKUP(AM30,Settings!G:H,2,FALSE))</f>
        <v/>
      </c>
      <c r="AO30" s="30" t="str">
        <f t="shared" si="10"/>
        <v xml:space="preserve">O   </v>
      </c>
      <c r="AP30" s="29" t="s">
        <v>9</v>
      </c>
    </row>
    <row r="31" spans="2:42">
      <c r="B31" s="24">
        <v>17</v>
      </c>
      <c r="C31" s="24" t="str">
        <f t="shared" si="0"/>
        <v/>
      </c>
      <c r="D31" s="24" t="str">
        <f>IF(ISERROR(VLOOKUP(C31,Settings!A:B,2,FALSE)),C31,VLOOKUP(C31,Settings!A:B,2,FALSE))</f>
        <v/>
      </c>
      <c r="E31" s="30" t="str">
        <f t="shared" si="8"/>
        <v>H</v>
      </c>
      <c r="F31" s="24" t="str">
        <f t="shared" si="9"/>
        <v/>
      </c>
      <c r="G31" s="24" t="str">
        <f>IF(ISNA(VLOOKUP(F31,Settings!G:H,2,FALSE)),"",VLOOKUP(F31,Settings!G:H,2,FALSE))</f>
        <v/>
      </c>
      <c r="H31" s="25"/>
      <c r="I31" s="26"/>
      <c r="J31" s="47" t="s">
        <v>48</v>
      </c>
      <c r="K31" s="45">
        <v>16</v>
      </c>
      <c r="L31" s="37">
        <f t="shared" si="1"/>
        <v>24</v>
      </c>
      <c r="M31" s="38" t="str">
        <f>VLOOKUP(L31,Settings!K:T,MATCH($L$6,Settings!$K$3:$S$3,0),FALSE)</f>
        <v>C</v>
      </c>
      <c r="N31" s="56"/>
      <c r="O31" s="47" t="s">
        <v>48</v>
      </c>
      <c r="P31" s="45">
        <v>16</v>
      </c>
      <c r="Q31" s="37">
        <f t="shared" si="2"/>
        <v>24</v>
      </c>
      <c r="R31" s="38" t="str">
        <f>VLOOKUP(Q31,Settings!$K:$S,MATCH(Q$6,Settings!$K$3:$S$3,0),FALSE)</f>
        <v>O</v>
      </c>
      <c r="S31" s="56"/>
      <c r="T31" s="47" t="s">
        <v>48</v>
      </c>
      <c r="U31" s="45">
        <v>16</v>
      </c>
      <c r="V31" s="37">
        <f t="shared" si="3"/>
        <v>18</v>
      </c>
      <c r="W31" s="38" t="str">
        <f>VLOOKUP(V31,Settings!$K:$S,MATCH(V$6,Settings!$K$3:$S$3,0),FALSE)</f>
        <v>G</v>
      </c>
      <c r="X31" s="56"/>
      <c r="Y31" s="37" t="s">
        <v>48</v>
      </c>
      <c r="Z31" s="38" t="str">
        <f>VLOOKUP(Y31,Settings!$J$4:$T$29,11,FALSE)</f>
        <v>E</v>
      </c>
      <c r="AA31" s="57"/>
      <c r="AB31" s="52" t="str">
        <f t="shared" si="4"/>
        <v>G</v>
      </c>
      <c r="AC31" s="47" t="s">
        <v>48</v>
      </c>
      <c r="AD31" s="57"/>
      <c r="AE31" s="52" t="str">
        <f t="shared" si="5"/>
        <v>O</v>
      </c>
      <c r="AF31" s="47" t="s">
        <v>48</v>
      </c>
      <c r="AG31" s="57"/>
      <c r="AH31" s="52" t="str">
        <f t="shared" si="6"/>
        <v>C</v>
      </c>
      <c r="AI31" s="47" t="s">
        <v>48</v>
      </c>
      <c r="AJ31" s="57"/>
      <c r="AL31" s="29">
        <f t="shared" si="7"/>
        <v>2</v>
      </c>
      <c r="AM31" s="29"/>
      <c r="AN31" s="29" t="str">
        <f>IF(ISNA(VLOOKUP(AM31,Settings!G:H,2,FALSE)),"",VLOOKUP(AM31,Settings!G:H,2,FALSE))</f>
        <v/>
      </c>
      <c r="AO31" s="30" t="str">
        <f t="shared" si="10"/>
        <v xml:space="preserve">O   </v>
      </c>
      <c r="AP31" s="29" t="s">
        <v>9</v>
      </c>
    </row>
    <row r="32" spans="2:42">
      <c r="B32" s="24">
        <v>18</v>
      </c>
      <c r="C32" s="24" t="str">
        <f t="shared" si="0"/>
        <v/>
      </c>
      <c r="D32" s="24" t="str">
        <f>IF(ISERROR(VLOOKUP(C32,Settings!A:B,2,FALSE)),C32,VLOOKUP(C32,Settings!A:B,2,FALSE))</f>
        <v/>
      </c>
      <c r="E32" s="30" t="str">
        <f t="shared" si="8"/>
        <v>H</v>
      </c>
      <c r="F32" s="24" t="str">
        <f t="shared" si="9"/>
        <v/>
      </c>
      <c r="G32" s="24" t="str">
        <f>IF(ISNA(VLOOKUP(F32,Settings!G:H,2,FALSE)),"",VLOOKUP(F32,Settings!G:H,2,FALSE))</f>
        <v/>
      </c>
      <c r="H32" s="25"/>
      <c r="I32" s="26"/>
      <c r="J32" s="47" t="s">
        <v>49</v>
      </c>
      <c r="K32" s="45">
        <v>17</v>
      </c>
      <c r="L32" s="37">
        <f t="shared" si="1"/>
        <v>25</v>
      </c>
      <c r="M32" s="38" t="str">
        <f>VLOOKUP(L32,Settings!K:T,MATCH($L$6,Settings!$K$3:$S$3,0),FALSE)</f>
        <v>J</v>
      </c>
      <c r="N32" s="56"/>
      <c r="O32" s="47" t="s">
        <v>49</v>
      </c>
      <c r="P32" s="45">
        <v>17</v>
      </c>
      <c r="Q32" s="37">
        <f t="shared" si="2"/>
        <v>25</v>
      </c>
      <c r="R32" s="38" t="str">
        <f>VLOOKUP(Q32,Settings!$K:$S,MATCH(Q$6,Settings!$K$3:$S$3,0),FALSE)</f>
        <v>E</v>
      </c>
      <c r="S32" s="56"/>
      <c r="T32" s="47" t="s">
        <v>49</v>
      </c>
      <c r="U32" s="45">
        <v>17</v>
      </c>
      <c r="V32" s="37">
        <f t="shared" si="3"/>
        <v>19</v>
      </c>
      <c r="W32" s="38" t="str">
        <f>VLOOKUP(V32,Settings!$K:$S,MATCH(V$6,Settings!$K$3:$S$3,0),FALSE)</f>
        <v>A</v>
      </c>
      <c r="X32" s="56"/>
      <c r="Y32" s="37" t="s">
        <v>49</v>
      </c>
      <c r="Z32" s="38" t="str">
        <f>VLOOKUP(Y32,Settings!$J$4:$T$29,11,FALSE)</f>
        <v>B</v>
      </c>
      <c r="AA32" s="57"/>
      <c r="AB32" s="52" t="str">
        <f t="shared" si="4"/>
        <v>A</v>
      </c>
      <c r="AC32" s="47" t="s">
        <v>49</v>
      </c>
      <c r="AD32" s="57"/>
      <c r="AE32" s="52" t="str">
        <f t="shared" si="5"/>
        <v>E</v>
      </c>
      <c r="AF32" s="47" t="s">
        <v>49</v>
      </c>
      <c r="AG32" s="57"/>
      <c r="AH32" s="52" t="str">
        <f t="shared" si="6"/>
        <v>J</v>
      </c>
      <c r="AI32" s="47" t="s">
        <v>49</v>
      </c>
      <c r="AJ32" s="57"/>
      <c r="AL32" s="29">
        <f t="shared" si="7"/>
        <v>3</v>
      </c>
      <c r="AM32" s="29"/>
      <c r="AN32" s="29" t="str">
        <f>IF(ISNA(VLOOKUP(AM32,Settings!G:H,2,FALSE)),"",VLOOKUP(AM32,Settings!G:H,2,FALSE))</f>
        <v/>
      </c>
      <c r="AO32" s="30" t="str">
        <f t="shared" si="10"/>
        <v xml:space="preserve">O   </v>
      </c>
      <c r="AP32" s="29" t="s">
        <v>9</v>
      </c>
    </row>
    <row r="33" spans="2:42">
      <c r="B33" s="24">
        <v>19</v>
      </c>
      <c r="C33" s="24" t="str">
        <f t="shared" si="0"/>
        <v/>
      </c>
      <c r="D33" s="24" t="str">
        <f>IF(ISERROR(VLOOKUP(C33,Settings!A:B,2,FALSE)),C33,VLOOKUP(C33,Settings!A:B,2,FALSE))</f>
        <v/>
      </c>
      <c r="E33" s="30" t="str">
        <f t="shared" si="8"/>
        <v>H</v>
      </c>
      <c r="F33" s="24" t="str">
        <f t="shared" si="9"/>
        <v/>
      </c>
      <c r="G33" s="24" t="str">
        <f>IF(ISNA(VLOOKUP(F33,Settings!G:H,2,FALSE)),"",VLOOKUP(F33,Settings!G:H,2,FALSE))</f>
        <v/>
      </c>
      <c r="H33" s="25"/>
      <c r="I33" s="26"/>
      <c r="J33" s="46" t="s">
        <v>50</v>
      </c>
      <c r="K33" s="45">
        <v>18</v>
      </c>
      <c r="L33" s="35">
        <f t="shared" si="1"/>
        <v>0</v>
      </c>
      <c r="M33" s="36" t="str">
        <f>VLOOKUP(L33,Settings!K:T,MATCH($L$6,Settings!$K$3:$S$3,0),FALSE)</f>
        <v>E</v>
      </c>
      <c r="N33" s="56"/>
      <c r="O33" s="46" t="s">
        <v>50</v>
      </c>
      <c r="P33" s="45">
        <v>18</v>
      </c>
      <c r="Q33" s="35">
        <f t="shared" si="2"/>
        <v>0</v>
      </c>
      <c r="R33" s="36" t="str">
        <f>VLOOKUP(Q33,Settings!$K:$S,MATCH(Q$6,Settings!$K$3:$S$3,0),FALSE)</f>
        <v>A</v>
      </c>
      <c r="S33" s="56"/>
      <c r="T33" s="46" t="s">
        <v>50</v>
      </c>
      <c r="U33" s="45">
        <v>18</v>
      </c>
      <c r="V33" s="35">
        <f t="shared" si="3"/>
        <v>20</v>
      </c>
      <c r="W33" s="36" t="str">
        <f>VLOOKUP(V33,Settings!$K:$S,MATCH(V$6,Settings!$K$3:$S$3,0),FALSE)</f>
        <v>K</v>
      </c>
      <c r="X33" s="56"/>
      <c r="Y33" s="35" t="s">
        <v>50</v>
      </c>
      <c r="Z33" s="36" t="str">
        <f>VLOOKUP(Y33,Settings!$J$4:$T$29,11,FALSE)</f>
        <v>F</v>
      </c>
      <c r="AA33" s="57"/>
      <c r="AB33" s="51" t="str">
        <f t="shared" si="4"/>
        <v>K</v>
      </c>
      <c r="AC33" s="46" t="s">
        <v>50</v>
      </c>
      <c r="AD33" s="57"/>
      <c r="AE33" s="51" t="str">
        <f t="shared" si="5"/>
        <v>A</v>
      </c>
      <c r="AF33" s="46" t="s">
        <v>50</v>
      </c>
      <c r="AG33" s="57"/>
      <c r="AH33" s="51" t="str">
        <f t="shared" si="6"/>
        <v>E</v>
      </c>
      <c r="AI33" s="46" t="s">
        <v>50</v>
      </c>
      <c r="AJ33" s="57"/>
      <c r="AL33" s="29">
        <f t="shared" si="7"/>
        <v>4</v>
      </c>
      <c r="AM33" s="29"/>
      <c r="AN33" s="29" t="str">
        <f>IF(ISNA(VLOOKUP(AM33,Settings!G:H,2,FALSE)),"",VLOOKUP(AM33,Settings!G:H,2,FALSE))</f>
        <v/>
      </c>
      <c r="AO33" s="30" t="str">
        <f t="shared" si="10"/>
        <v xml:space="preserve">O   </v>
      </c>
      <c r="AP33" s="29" t="s">
        <v>9</v>
      </c>
    </row>
    <row r="34" spans="2:42">
      <c r="B34" s="24">
        <v>20</v>
      </c>
      <c r="C34" s="24" t="str">
        <f t="shared" si="0"/>
        <v/>
      </c>
      <c r="D34" s="24" t="str">
        <f>IF(ISERROR(VLOOKUP(C34,Settings!A:B,2,FALSE)),C34,VLOOKUP(C34,Settings!A:B,2,FALSE))</f>
        <v/>
      </c>
      <c r="E34" s="30" t="str">
        <f t="shared" si="8"/>
        <v>H</v>
      </c>
      <c r="F34" s="24" t="str">
        <f t="shared" si="9"/>
        <v/>
      </c>
      <c r="G34" s="24" t="str">
        <f>IF(ISNA(VLOOKUP(F34,Settings!G:H,2,FALSE)),"",VLOOKUP(F34,Settings!G:H,2,FALSE))</f>
        <v/>
      </c>
      <c r="H34" s="25"/>
      <c r="I34" s="26"/>
      <c r="J34" s="46" t="s">
        <v>51</v>
      </c>
      <c r="K34" s="45">
        <v>19</v>
      </c>
      <c r="L34" s="35">
        <f t="shared" si="1"/>
        <v>1</v>
      </c>
      <c r="M34" s="36" t="str">
        <f>VLOOKUP(L34,Settings!K:T,MATCH($L$6,Settings!$K$3:$S$3,0),FALSE)</f>
        <v>K</v>
      </c>
      <c r="N34" s="56"/>
      <c r="O34" s="46" t="s">
        <v>51</v>
      </c>
      <c r="P34" s="45">
        <v>19</v>
      </c>
      <c r="Q34" s="35">
        <f t="shared" si="2"/>
        <v>1</v>
      </c>
      <c r="R34" s="36" t="str">
        <f>VLOOKUP(Q34,Settings!$K:$S,MATCH(Q$6,Settings!$K$3:$S$3,0),FALSE)</f>
        <v>J</v>
      </c>
      <c r="S34" s="56"/>
      <c r="T34" s="46" t="s">
        <v>51</v>
      </c>
      <c r="U34" s="45">
        <v>19</v>
      </c>
      <c r="V34" s="35">
        <f t="shared" si="3"/>
        <v>21</v>
      </c>
      <c r="W34" s="36" t="str">
        <f>VLOOKUP(V34,Settings!$K:$S,MATCH(V$6,Settings!$K$3:$S$3,0),FALSE)</f>
        <v>M</v>
      </c>
      <c r="X34" s="56"/>
      <c r="Y34" s="35" t="s">
        <v>51</v>
      </c>
      <c r="Z34" s="36" t="str">
        <f>VLOOKUP(Y34,Settings!$J$4:$T$29,11,FALSE)</f>
        <v>Z</v>
      </c>
      <c r="AA34" s="57"/>
      <c r="AB34" s="51" t="str">
        <f t="shared" si="4"/>
        <v>M</v>
      </c>
      <c r="AC34" s="46" t="s">
        <v>51</v>
      </c>
      <c r="AD34" s="57"/>
      <c r="AE34" s="51" t="str">
        <f t="shared" si="5"/>
        <v>J</v>
      </c>
      <c r="AF34" s="46" t="s">
        <v>51</v>
      </c>
      <c r="AG34" s="57"/>
      <c r="AH34" s="51" t="str">
        <f t="shared" si="6"/>
        <v>K</v>
      </c>
      <c r="AI34" s="46" t="s">
        <v>51</v>
      </c>
      <c r="AJ34" s="57"/>
      <c r="AL34" s="29">
        <f t="shared" si="7"/>
        <v>5</v>
      </c>
      <c r="AM34" s="29"/>
      <c r="AN34" s="29" t="str">
        <f>IF(ISNA(VLOOKUP(AM34,Settings!G:H,2,FALSE)),"",VLOOKUP(AM34,Settings!G:H,2,FALSE))</f>
        <v/>
      </c>
      <c r="AO34" s="30" t="str">
        <f t="shared" si="10"/>
        <v xml:space="preserve">O   </v>
      </c>
      <c r="AP34" s="29" t="s">
        <v>9</v>
      </c>
    </row>
    <row r="35" spans="2:42">
      <c r="B35" s="24">
        <v>21</v>
      </c>
      <c r="C35" s="24" t="str">
        <f t="shared" si="0"/>
        <v/>
      </c>
      <c r="D35" s="24" t="str">
        <f>IF(ISERROR(VLOOKUP(C35,Settings!A:B,2,FALSE)),C35,VLOOKUP(C35,Settings!A:B,2,FALSE))</f>
        <v/>
      </c>
      <c r="E35" s="30" t="str">
        <f t="shared" si="8"/>
        <v>H</v>
      </c>
      <c r="F35" s="24" t="str">
        <f t="shared" si="9"/>
        <v/>
      </c>
      <c r="G35" s="24" t="str">
        <f>IF(ISNA(VLOOKUP(F35,Settings!G:H,2,FALSE)),"",VLOOKUP(F35,Settings!G:H,2,FALSE))</f>
        <v/>
      </c>
      <c r="H35" s="25"/>
      <c r="I35" s="26"/>
      <c r="J35" s="46" t="s">
        <v>52</v>
      </c>
      <c r="K35" s="45">
        <v>20</v>
      </c>
      <c r="L35" s="35">
        <f t="shared" si="1"/>
        <v>2</v>
      </c>
      <c r="M35" s="36" t="str">
        <f>VLOOKUP(L35,Settings!K:T,MATCH($L$6,Settings!$K$3:$S$3,0),FALSE)</f>
        <v>M</v>
      </c>
      <c r="N35" s="56"/>
      <c r="O35" s="46" t="s">
        <v>52</v>
      </c>
      <c r="P35" s="45">
        <v>20</v>
      </c>
      <c r="Q35" s="35">
        <f t="shared" si="2"/>
        <v>2</v>
      </c>
      <c r="R35" s="36" t="str">
        <f>VLOOKUP(Q35,Settings!$K:$S,MATCH(Q$6,Settings!$K$3:$S$3,0),FALSE)</f>
        <v>D</v>
      </c>
      <c r="S35" s="56"/>
      <c r="T35" s="46" t="s">
        <v>52</v>
      </c>
      <c r="U35" s="45">
        <v>20</v>
      </c>
      <c r="V35" s="35">
        <f t="shared" si="3"/>
        <v>22</v>
      </c>
      <c r="W35" s="36" t="str">
        <f>VLOOKUP(V35,Settings!$K:$S,MATCH(V$6,Settings!$K$3:$S$3,0),FALSE)</f>
        <v>U</v>
      </c>
      <c r="X35" s="56"/>
      <c r="Y35" s="35" t="s">
        <v>52</v>
      </c>
      <c r="Z35" s="36" t="str">
        <f>VLOOKUP(Y35,Settings!$J$4:$T$29,11,FALSE)</f>
        <v>C</v>
      </c>
      <c r="AA35" s="57"/>
      <c r="AB35" s="51" t="str">
        <f t="shared" si="4"/>
        <v>U</v>
      </c>
      <c r="AC35" s="46" t="s">
        <v>52</v>
      </c>
      <c r="AD35" s="57"/>
      <c r="AE35" s="51" t="str">
        <f t="shared" si="5"/>
        <v>D</v>
      </c>
      <c r="AF35" s="46" t="s">
        <v>52</v>
      </c>
      <c r="AG35" s="57"/>
      <c r="AH35" s="51" t="str">
        <f t="shared" si="6"/>
        <v>M</v>
      </c>
      <c r="AI35" s="46" t="s">
        <v>52</v>
      </c>
      <c r="AJ35" s="57"/>
      <c r="AL35" s="29">
        <f t="shared" si="7"/>
        <v>1</v>
      </c>
      <c r="AM35" s="29"/>
      <c r="AN35" s="29" t="str">
        <f>IF(ISNA(VLOOKUP(AM35,Settings!G:H,2,FALSE)),"",VLOOKUP(AM35,Settings!G:H,2,FALSE))</f>
        <v/>
      </c>
      <c r="AO35" s="30" t="str">
        <f t="shared" si="10"/>
        <v xml:space="preserve">O    </v>
      </c>
      <c r="AP35" s="29" t="s">
        <v>9</v>
      </c>
    </row>
    <row r="36" spans="2:42">
      <c r="B36" s="24">
        <v>22</v>
      </c>
      <c r="C36" s="24" t="str">
        <f t="shared" si="0"/>
        <v/>
      </c>
      <c r="D36" s="24" t="str">
        <f>IF(ISERROR(VLOOKUP(C36,Settings!A:B,2,FALSE)),C36,VLOOKUP(C36,Settings!A:B,2,FALSE))</f>
        <v/>
      </c>
      <c r="E36" s="30" t="str">
        <f t="shared" si="8"/>
        <v>H</v>
      </c>
      <c r="F36" s="24" t="str">
        <f t="shared" si="9"/>
        <v/>
      </c>
      <c r="G36" s="24" t="str">
        <f>IF(ISNA(VLOOKUP(F36,Settings!G:H,2,FALSE)),"",VLOOKUP(F36,Settings!G:H,2,FALSE))</f>
        <v/>
      </c>
      <c r="H36" s="25"/>
      <c r="I36" s="26"/>
      <c r="J36" s="44" t="s">
        <v>53</v>
      </c>
      <c r="K36" s="45">
        <v>21</v>
      </c>
      <c r="L36" s="33">
        <f t="shared" si="1"/>
        <v>3</v>
      </c>
      <c r="M36" s="34" t="str">
        <f>VLOOKUP(L36,Settings!K:T,MATCH($L$6,Settings!$K$3:$S$3,0),FALSE)</f>
        <v>F</v>
      </c>
      <c r="N36" s="56"/>
      <c r="O36" s="44" t="s">
        <v>53</v>
      </c>
      <c r="P36" s="45">
        <v>21</v>
      </c>
      <c r="Q36" s="33">
        <f t="shared" si="2"/>
        <v>3</v>
      </c>
      <c r="R36" s="34" t="str">
        <f>VLOOKUP(Q36,Settings!$K:$S,MATCH(Q$6,Settings!$K$3:$S$3,0),FALSE)</f>
        <v>K</v>
      </c>
      <c r="S36" s="56"/>
      <c r="T36" s="44" t="s">
        <v>53</v>
      </c>
      <c r="U36" s="45">
        <v>21</v>
      </c>
      <c r="V36" s="33">
        <f t="shared" si="3"/>
        <v>23</v>
      </c>
      <c r="W36" s="34" t="str">
        <f>VLOOKUP(V36,Settings!$K:$S,MATCH(V$6,Settings!$K$3:$S$3,0),FALSE)</f>
        <v>S</v>
      </c>
      <c r="X36" s="56"/>
      <c r="Y36" s="33" t="s">
        <v>53</v>
      </c>
      <c r="Z36" s="34" t="str">
        <f>VLOOKUP(Y36,Settings!$J$4:$T$29,11,FALSE)</f>
        <v>W</v>
      </c>
      <c r="AA36" s="57"/>
      <c r="AB36" s="50" t="str">
        <f t="shared" si="4"/>
        <v>S</v>
      </c>
      <c r="AC36" s="44" t="s">
        <v>53</v>
      </c>
      <c r="AD36" s="57"/>
      <c r="AE36" s="50" t="str">
        <f t="shared" si="5"/>
        <v>K</v>
      </c>
      <c r="AF36" s="44" t="s">
        <v>53</v>
      </c>
      <c r="AG36" s="57"/>
      <c r="AH36" s="50" t="str">
        <f t="shared" si="6"/>
        <v>F</v>
      </c>
      <c r="AI36" s="44" t="s">
        <v>53</v>
      </c>
      <c r="AJ36" s="57"/>
      <c r="AL36" s="29">
        <f t="shared" si="7"/>
        <v>2</v>
      </c>
      <c r="AM36" s="29"/>
      <c r="AN36" s="29" t="str">
        <f>IF(ISNA(VLOOKUP(AM36,Settings!G:H,2,FALSE)),"",VLOOKUP(AM36,Settings!G:H,2,FALSE))</f>
        <v/>
      </c>
      <c r="AO36" s="30" t="str">
        <f t="shared" si="10"/>
        <v xml:space="preserve">O    </v>
      </c>
      <c r="AP36" s="29" t="s">
        <v>9</v>
      </c>
    </row>
    <row r="37" spans="2:42">
      <c r="B37" s="24">
        <v>23</v>
      </c>
      <c r="C37" s="24" t="str">
        <f t="shared" si="0"/>
        <v/>
      </c>
      <c r="D37" s="24" t="str">
        <f>IF(ISERROR(VLOOKUP(C37,Settings!A:B,2,FALSE)),C37,VLOOKUP(C37,Settings!A:B,2,FALSE))</f>
        <v/>
      </c>
      <c r="E37" s="30" t="str">
        <f t="shared" si="8"/>
        <v>H</v>
      </c>
      <c r="F37" s="24" t="str">
        <f t="shared" si="9"/>
        <v/>
      </c>
      <c r="G37" s="24" t="str">
        <f>IF(ISNA(VLOOKUP(F37,Settings!G:H,2,FALSE)),"",VLOOKUP(F37,Settings!G:H,2,FALSE))</f>
        <v/>
      </c>
      <c r="H37" s="25"/>
      <c r="I37" s="26"/>
      <c r="J37" s="44" t="s">
        <v>54</v>
      </c>
      <c r="K37" s="45">
        <v>22</v>
      </c>
      <c r="L37" s="33">
        <f t="shared" si="1"/>
        <v>4</v>
      </c>
      <c r="M37" s="34" t="str">
        <f>VLOOKUP(L37,Settings!K:T,MATCH($L$6,Settings!$K$3:$S$3,0),FALSE)</f>
        <v>L</v>
      </c>
      <c r="N37" s="56"/>
      <c r="O37" s="44" t="s">
        <v>54</v>
      </c>
      <c r="P37" s="45">
        <v>22</v>
      </c>
      <c r="Q37" s="33">
        <f t="shared" si="2"/>
        <v>4</v>
      </c>
      <c r="R37" s="34" t="str">
        <f>VLOOKUP(Q37,Settings!$K:$S,MATCH(Q$6,Settings!$K$3:$S$3,0),FALSE)</f>
        <v>S</v>
      </c>
      <c r="S37" s="56"/>
      <c r="T37" s="44" t="s">
        <v>54</v>
      </c>
      <c r="U37" s="45">
        <v>22</v>
      </c>
      <c r="V37" s="33">
        <f t="shared" si="3"/>
        <v>24</v>
      </c>
      <c r="W37" s="34" t="str">
        <f>VLOOKUP(V37,Settings!$K:$S,MATCH(V$6,Settings!$K$3:$S$3,0),FALSE)</f>
        <v>Q</v>
      </c>
      <c r="X37" s="56"/>
      <c r="Y37" s="33" t="s">
        <v>54</v>
      </c>
      <c r="Z37" s="34" t="str">
        <f>VLOOKUP(Y37,Settings!$J$4:$T$29,11,FALSE)</f>
        <v>V</v>
      </c>
      <c r="AA37" s="57"/>
      <c r="AB37" s="50" t="str">
        <f t="shared" si="4"/>
        <v>Q</v>
      </c>
      <c r="AC37" s="44" t="s">
        <v>54</v>
      </c>
      <c r="AD37" s="57"/>
      <c r="AE37" s="50" t="str">
        <f t="shared" si="5"/>
        <v>S</v>
      </c>
      <c r="AF37" s="44" t="s">
        <v>54</v>
      </c>
      <c r="AG37" s="57"/>
      <c r="AH37" s="50" t="str">
        <f t="shared" si="6"/>
        <v>L</v>
      </c>
      <c r="AI37" s="44" t="s">
        <v>54</v>
      </c>
      <c r="AJ37" s="57"/>
      <c r="AL37" s="29">
        <f t="shared" si="7"/>
        <v>3</v>
      </c>
      <c r="AM37" s="29"/>
      <c r="AN37" s="29" t="str">
        <f>IF(ISNA(VLOOKUP(AM37,Settings!G:H,2,FALSE)),"",VLOOKUP(AM37,Settings!G:H,2,FALSE))</f>
        <v/>
      </c>
      <c r="AO37" s="30" t="str">
        <f t="shared" si="10"/>
        <v xml:space="preserve">O    </v>
      </c>
      <c r="AP37" s="29" t="s">
        <v>9</v>
      </c>
    </row>
    <row r="38" spans="2:42">
      <c r="B38" s="24">
        <v>24</v>
      </c>
      <c r="C38" s="24" t="str">
        <f t="shared" si="0"/>
        <v/>
      </c>
      <c r="D38" s="24" t="str">
        <f>IF(ISERROR(VLOOKUP(C38,Settings!A:B,2,FALSE)),C38,VLOOKUP(C38,Settings!A:B,2,FALSE))</f>
        <v/>
      </c>
      <c r="E38" s="30" t="str">
        <f t="shared" si="8"/>
        <v>H</v>
      </c>
      <c r="F38" s="24" t="str">
        <f t="shared" si="9"/>
        <v/>
      </c>
      <c r="G38" s="24" t="str">
        <f>IF(ISNA(VLOOKUP(F38,Settings!G:H,2,FALSE)),"",VLOOKUP(F38,Settings!G:H,2,FALSE))</f>
        <v/>
      </c>
      <c r="H38" s="25"/>
      <c r="I38" s="26"/>
      <c r="J38" s="44" t="s">
        <v>11</v>
      </c>
      <c r="K38" s="45">
        <v>23</v>
      </c>
      <c r="L38" s="33">
        <f t="shared" si="1"/>
        <v>5</v>
      </c>
      <c r="M38" s="34" t="str">
        <f>VLOOKUP(L38,Settings!K:T,MATCH($L$6,Settings!$K$3:$S$3,0),FALSE)</f>
        <v>G</v>
      </c>
      <c r="N38" s="56"/>
      <c r="O38" s="44" t="s">
        <v>11</v>
      </c>
      <c r="P38" s="45">
        <v>23</v>
      </c>
      <c r="Q38" s="33">
        <f t="shared" si="2"/>
        <v>5</v>
      </c>
      <c r="R38" s="34" t="str">
        <f>VLOOKUP(Q38,Settings!$K:$S,MATCH(Q$6,Settings!$K$3:$S$3,0),FALSE)</f>
        <v>I</v>
      </c>
      <c r="S38" s="56"/>
      <c r="T38" s="44" t="s">
        <v>11</v>
      </c>
      <c r="U38" s="45">
        <v>23</v>
      </c>
      <c r="V38" s="33">
        <f t="shared" si="3"/>
        <v>25</v>
      </c>
      <c r="W38" s="34" t="str">
        <f>VLOOKUP(V38,Settings!$K:$S,MATCH(V$6,Settings!$K$3:$S$3,0),FALSE)</f>
        <v>O</v>
      </c>
      <c r="X38" s="56"/>
      <c r="Y38" s="33" t="s">
        <v>11</v>
      </c>
      <c r="Z38" s="34" t="str">
        <f>VLOOKUP(Y38,Settings!$J$4:$T$29,11,FALSE)</f>
        <v>J</v>
      </c>
      <c r="AA38" s="57"/>
      <c r="AB38" s="50" t="str">
        <f t="shared" si="4"/>
        <v>O</v>
      </c>
      <c r="AC38" s="44" t="s">
        <v>11</v>
      </c>
      <c r="AD38" s="57"/>
      <c r="AE38" s="50" t="str">
        <f t="shared" si="5"/>
        <v>I</v>
      </c>
      <c r="AF38" s="44" t="s">
        <v>11</v>
      </c>
      <c r="AG38" s="57"/>
      <c r="AH38" s="50" t="str">
        <f t="shared" si="6"/>
        <v>G</v>
      </c>
      <c r="AI38" s="44" t="s">
        <v>11</v>
      </c>
      <c r="AJ38" s="57"/>
      <c r="AL38" s="29">
        <f t="shared" si="7"/>
        <v>4</v>
      </c>
      <c r="AM38" s="29"/>
      <c r="AN38" s="29" t="str">
        <f>IF(ISNA(VLOOKUP(AM38,Settings!G:H,2,FALSE)),"",VLOOKUP(AM38,Settings!G:H,2,FALSE))</f>
        <v/>
      </c>
      <c r="AO38" s="30" t="str">
        <f t="shared" si="10"/>
        <v xml:space="preserve">O    </v>
      </c>
      <c r="AP38" s="29" t="s">
        <v>9</v>
      </c>
    </row>
    <row r="39" spans="2:42">
      <c r="B39" s="24">
        <v>25</v>
      </c>
      <c r="C39" s="24" t="str">
        <f t="shared" si="0"/>
        <v/>
      </c>
      <c r="D39" s="24" t="str">
        <f>IF(ISERROR(VLOOKUP(C39,Settings!A:B,2,FALSE)),C39,VLOOKUP(C39,Settings!A:B,2,FALSE))</f>
        <v/>
      </c>
      <c r="E39" s="30" t="str">
        <f t="shared" si="8"/>
        <v>H</v>
      </c>
      <c r="F39" s="24" t="str">
        <f t="shared" si="9"/>
        <v/>
      </c>
      <c r="G39" s="24" t="str">
        <f>IF(ISNA(VLOOKUP(F39,Settings!G:H,2,FALSE)),"",VLOOKUP(F39,Settings!G:H,2,FALSE))</f>
        <v/>
      </c>
      <c r="H39" s="25"/>
      <c r="I39" s="26"/>
      <c r="J39" s="44" t="s">
        <v>55</v>
      </c>
      <c r="K39" s="45">
        <v>24</v>
      </c>
      <c r="L39" s="33">
        <f t="shared" si="1"/>
        <v>6</v>
      </c>
      <c r="M39" s="34" t="str">
        <f>VLOOKUP(L39,Settings!K:T,MATCH($L$6,Settings!$K$3:$S$3,0),FALSE)</f>
        <v>D</v>
      </c>
      <c r="N39" s="56"/>
      <c r="O39" s="44" t="s">
        <v>55</v>
      </c>
      <c r="P39" s="45">
        <v>24</v>
      </c>
      <c r="Q39" s="33">
        <f t="shared" si="2"/>
        <v>6</v>
      </c>
      <c r="R39" s="34" t="str">
        <f>VLOOKUP(Q39,Settings!$K:$S,MATCH(Q$6,Settings!$K$3:$S$3,0),FALSE)</f>
        <v>R</v>
      </c>
      <c r="S39" s="56"/>
      <c r="T39" s="44" t="s">
        <v>55</v>
      </c>
      <c r="U39" s="45">
        <v>24</v>
      </c>
      <c r="V39" s="33">
        <f t="shared" si="3"/>
        <v>0</v>
      </c>
      <c r="W39" s="34" t="str">
        <f>VLOOKUP(V39,Settings!$K:$S,MATCH(V$6,Settings!$K$3:$S$3,0),FALSE)</f>
        <v>B</v>
      </c>
      <c r="X39" s="56"/>
      <c r="Y39" s="33" t="s">
        <v>55</v>
      </c>
      <c r="Z39" s="34" t="str">
        <f>VLOOKUP(Y39,Settings!$J$4:$T$29,11,FALSE)</f>
        <v>A</v>
      </c>
      <c r="AA39" s="57"/>
      <c r="AB39" s="50" t="str">
        <f t="shared" si="4"/>
        <v>B</v>
      </c>
      <c r="AC39" s="44" t="s">
        <v>55</v>
      </c>
      <c r="AD39" s="57"/>
      <c r="AE39" s="50" t="str">
        <f t="shared" si="5"/>
        <v>R</v>
      </c>
      <c r="AF39" s="44" t="s">
        <v>55</v>
      </c>
      <c r="AG39" s="57"/>
      <c r="AH39" s="50" t="str">
        <f t="shared" si="6"/>
        <v>D</v>
      </c>
      <c r="AI39" s="44" t="s">
        <v>55</v>
      </c>
      <c r="AJ39" s="57"/>
      <c r="AL39" s="29">
        <f t="shared" si="7"/>
        <v>5</v>
      </c>
      <c r="AM39" s="29"/>
      <c r="AN39" s="29" t="str">
        <f>IF(ISNA(VLOOKUP(AM39,Settings!G:H,2,FALSE)),"",VLOOKUP(AM39,Settings!G:H,2,FALSE))</f>
        <v/>
      </c>
      <c r="AO39" s="30" t="str">
        <f t="shared" si="10"/>
        <v xml:space="preserve">O    </v>
      </c>
      <c r="AP39" s="29" t="s">
        <v>9</v>
      </c>
    </row>
    <row r="40" spans="2:42">
      <c r="B40" s="24">
        <v>26</v>
      </c>
      <c r="C40" s="24" t="str">
        <f t="shared" si="0"/>
        <v/>
      </c>
      <c r="D40" s="24" t="str">
        <f>IF(ISERROR(VLOOKUP(C40,Settings!A:B,2,FALSE)),C40,VLOOKUP(C40,Settings!A:B,2,FALSE))</f>
        <v/>
      </c>
      <c r="E40" s="30" t="str">
        <f t="shared" si="8"/>
        <v>H</v>
      </c>
      <c r="F40" s="24" t="str">
        <f t="shared" si="9"/>
        <v/>
      </c>
      <c r="G40" s="24" t="str">
        <f>IF(ISNA(VLOOKUP(F40,Settings!G:H,2,FALSE)),"",VLOOKUP(F40,Settings!G:H,2,FALSE))</f>
        <v/>
      </c>
      <c r="H40" s="25"/>
      <c r="I40" s="26"/>
      <c r="J40" s="43" t="s">
        <v>56</v>
      </c>
      <c r="K40" s="45">
        <v>25</v>
      </c>
      <c r="L40" s="41">
        <f t="shared" si="1"/>
        <v>7</v>
      </c>
      <c r="M40" s="42" t="str">
        <f>VLOOKUP(L40,Settings!K:T,MATCH($L$6,Settings!$K$3:$S$3,0),FALSE)</f>
        <v>Q</v>
      </c>
      <c r="N40" s="56"/>
      <c r="O40" s="43" t="s">
        <v>56</v>
      </c>
      <c r="P40" s="45">
        <v>25</v>
      </c>
      <c r="Q40" s="41">
        <f t="shared" si="2"/>
        <v>7</v>
      </c>
      <c r="R40" s="42" t="str">
        <f>VLOOKUP(Q40,Settings!$K:$S,MATCH(Q$6,Settings!$K$3:$S$3,0),FALSE)</f>
        <v>U</v>
      </c>
      <c r="S40" s="56"/>
      <c r="T40" s="43" t="s">
        <v>56</v>
      </c>
      <c r="U40" s="45">
        <v>25</v>
      </c>
      <c r="V40" s="41">
        <f t="shared" si="3"/>
        <v>1</v>
      </c>
      <c r="W40" s="42" t="str">
        <f>VLOOKUP(V40,Settings!$K:$S,MATCH(V$6,Settings!$K$3:$S$3,0),FALSE)</f>
        <v>D</v>
      </c>
      <c r="X40" s="56"/>
      <c r="Y40" s="41" t="s">
        <v>56</v>
      </c>
      <c r="Z40" s="42" t="str">
        <f>VLOOKUP(Y40,Settings!$J$4:$T$29,11,FALSE)</f>
        <v>T</v>
      </c>
      <c r="AA40" s="57"/>
      <c r="AB40" s="54" t="str">
        <f t="shared" si="4"/>
        <v>D</v>
      </c>
      <c r="AC40" s="43" t="s">
        <v>56</v>
      </c>
      <c r="AD40" s="57"/>
      <c r="AE40" s="54" t="str">
        <f t="shared" si="5"/>
        <v>U</v>
      </c>
      <c r="AF40" s="43" t="s">
        <v>56</v>
      </c>
      <c r="AG40" s="57"/>
      <c r="AH40" s="54" t="str">
        <f t="shared" si="6"/>
        <v>Q</v>
      </c>
      <c r="AI40" s="43" t="s">
        <v>56</v>
      </c>
      <c r="AJ40" s="57"/>
      <c r="AL40" s="29">
        <f t="shared" si="7"/>
        <v>1</v>
      </c>
      <c r="AM40" s="29"/>
      <c r="AN40" s="29" t="str">
        <f>IF(ISNA(VLOOKUP(AM40,Settings!G:H,2,FALSE)),"",VLOOKUP(AM40,Settings!G:H,2,FALSE))</f>
        <v/>
      </c>
      <c r="AO40" s="30" t="str">
        <f t="shared" si="10"/>
        <v xml:space="preserve">O     </v>
      </c>
      <c r="AP40" s="29" t="s">
        <v>9</v>
      </c>
    </row>
    <row r="41" spans="2:42">
      <c r="B41" s="24">
        <v>27</v>
      </c>
      <c r="C41" s="24" t="str">
        <f t="shared" si="0"/>
        <v/>
      </c>
      <c r="D41" s="24" t="str">
        <f>IF(ISERROR(VLOOKUP(C41,Settings!A:B,2,FALSE)),C41,VLOOKUP(C41,Settings!A:B,2,FALSE))</f>
        <v/>
      </c>
      <c r="E41" s="30" t="str">
        <f t="shared" si="8"/>
        <v>H</v>
      </c>
      <c r="F41" s="24" t="str">
        <f t="shared" si="9"/>
        <v/>
      </c>
      <c r="G41" s="24" t="str">
        <f>IF(ISNA(VLOOKUP(F41,Settings!G:H,2,FALSE)),"",VLOOKUP(F41,Settings!G:H,2,FALSE))</f>
        <v/>
      </c>
      <c r="H41" s="25"/>
      <c r="I41" s="26"/>
      <c r="J41" s="55"/>
      <c r="K41" s="56"/>
      <c r="L41" s="56"/>
      <c r="M41" s="56"/>
      <c r="N41" s="56"/>
      <c r="O41" s="55"/>
      <c r="P41" s="56"/>
      <c r="Q41" s="56"/>
      <c r="R41" s="56"/>
      <c r="S41" s="56"/>
      <c r="T41" s="55"/>
      <c r="U41" s="56"/>
      <c r="V41" s="56"/>
      <c r="W41" s="56"/>
      <c r="X41" s="56"/>
      <c r="Y41" s="56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L41" s="29">
        <f t="shared" si="7"/>
        <v>2</v>
      </c>
      <c r="AM41" s="29"/>
      <c r="AN41" s="29" t="str">
        <f>IF(ISNA(VLOOKUP(AM41,Settings!G:H,2,FALSE)),"",VLOOKUP(AM41,Settings!G:H,2,FALSE))</f>
        <v/>
      </c>
      <c r="AO41" s="30" t="str">
        <f t="shared" si="10"/>
        <v xml:space="preserve">O     </v>
      </c>
      <c r="AP41" s="29" t="s">
        <v>9</v>
      </c>
    </row>
    <row r="42" spans="2:42">
      <c r="B42" s="24">
        <v>28</v>
      </c>
      <c r="C42" s="24" t="str">
        <f t="shared" si="0"/>
        <v/>
      </c>
      <c r="D42" s="24" t="str">
        <f>IF(ISERROR(VLOOKUP(C42,Settings!A:B,2,FALSE)),C42,VLOOKUP(C42,Settings!A:B,2,FALSE))</f>
        <v/>
      </c>
      <c r="E42" s="30" t="str">
        <f t="shared" si="8"/>
        <v>H</v>
      </c>
      <c r="F42" s="24" t="str">
        <f t="shared" si="9"/>
        <v/>
      </c>
      <c r="G42" s="24" t="str">
        <f>IF(ISNA(VLOOKUP(F42,Settings!G:H,2,FALSE)),"",VLOOKUP(F42,Settings!G:H,2,FALSE))</f>
        <v/>
      </c>
      <c r="H42" s="25"/>
      <c r="I42" s="26"/>
      <c r="J42" s="55"/>
      <c r="K42" s="56"/>
      <c r="L42" s="56"/>
      <c r="M42" s="56"/>
      <c r="N42" s="56"/>
      <c r="O42" s="55"/>
      <c r="P42" s="56"/>
      <c r="Q42" s="56"/>
      <c r="R42" s="56"/>
      <c r="S42" s="56"/>
      <c r="T42" s="55"/>
      <c r="U42" s="56"/>
      <c r="V42" s="56"/>
      <c r="W42" s="56"/>
      <c r="X42" s="56"/>
      <c r="Y42" s="56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L42" s="29">
        <f t="shared" si="7"/>
        <v>3</v>
      </c>
      <c r="AM42" s="29"/>
      <c r="AN42" s="29" t="str">
        <f>IF(ISNA(VLOOKUP(AM42,Settings!G:H,2,FALSE)),"",VLOOKUP(AM42,Settings!G:H,2,FALSE))</f>
        <v/>
      </c>
      <c r="AO42" s="30" t="str">
        <f t="shared" si="10"/>
        <v xml:space="preserve">O     </v>
      </c>
      <c r="AP42" s="29" t="s">
        <v>9</v>
      </c>
    </row>
    <row r="43" spans="2:42">
      <c r="B43" s="24">
        <v>29</v>
      </c>
      <c r="C43" s="24" t="str">
        <f t="shared" si="0"/>
        <v/>
      </c>
      <c r="D43" s="24" t="str">
        <f>IF(ISERROR(VLOOKUP(C43,Settings!A:B,2,FALSE)),C43,VLOOKUP(C43,Settings!A:B,2,FALSE))</f>
        <v/>
      </c>
      <c r="E43" s="30" t="str">
        <f t="shared" si="8"/>
        <v>H</v>
      </c>
      <c r="F43" s="24" t="str">
        <f t="shared" si="9"/>
        <v/>
      </c>
      <c r="G43" s="24" t="str">
        <f>IF(ISNA(VLOOKUP(F43,Settings!G:H,2,FALSE)),"",VLOOKUP(F43,Settings!G:H,2,FALSE))</f>
        <v/>
      </c>
      <c r="H43" s="25"/>
      <c r="I43" s="26"/>
      <c r="J43" s="55"/>
      <c r="K43" s="56"/>
      <c r="L43" s="56"/>
      <c r="M43" s="56"/>
      <c r="N43" s="56"/>
      <c r="O43" s="55"/>
      <c r="P43" s="56"/>
      <c r="Q43" s="56"/>
      <c r="R43" s="56"/>
      <c r="S43" s="56"/>
      <c r="T43" s="55"/>
      <c r="U43" s="56"/>
      <c r="V43" s="56"/>
      <c r="W43" s="56"/>
      <c r="X43" s="56"/>
      <c r="Y43" s="56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L43" s="29">
        <f t="shared" si="7"/>
        <v>4</v>
      </c>
      <c r="AM43" s="29"/>
      <c r="AN43" s="29" t="str">
        <f>IF(ISNA(VLOOKUP(AM43,Settings!G:H,2,FALSE)),"",VLOOKUP(AM43,Settings!G:H,2,FALSE))</f>
        <v/>
      </c>
      <c r="AO43" s="30" t="str">
        <f t="shared" si="10"/>
        <v xml:space="preserve">O     </v>
      </c>
      <c r="AP43" s="29" t="s">
        <v>9</v>
      </c>
    </row>
    <row r="44" spans="2:42">
      <c r="B44" s="24">
        <v>30</v>
      </c>
      <c r="C44" s="24" t="str">
        <f t="shared" si="0"/>
        <v/>
      </c>
      <c r="D44" s="24" t="str">
        <f>IF(ISERROR(VLOOKUP(C44,Settings!A:B,2,FALSE)),C44,VLOOKUP(C44,Settings!A:B,2,FALSE))</f>
        <v/>
      </c>
      <c r="E44" s="30" t="str">
        <f t="shared" si="8"/>
        <v>H</v>
      </c>
      <c r="F44" s="24" t="str">
        <f t="shared" si="9"/>
        <v/>
      </c>
      <c r="G44" s="24" t="str">
        <f>IF(ISNA(VLOOKUP(F44,Settings!G:H,2,FALSE)),"",VLOOKUP(F44,Settings!G:H,2,FALSE))</f>
        <v/>
      </c>
      <c r="H44" s="25"/>
      <c r="S44" s="16"/>
      <c r="X44" s="16"/>
      <c r="AA44" s="16"/>
      <c r="AG44" s="16"/>
      <c r="AL44" s="29">
        <f t="shared" si="7"/>
        <v>5</v>
      </c>
      <c r="AM44" s="29"/>
      <c r="AN44" s="29" t="str">
        <f>IF(ISNA(VLOOKUP(AM44,Settings!G:H,2,FALSE)),"",VLOOKUP(AM44,Settings!G:H,2,FALSE))</f>
        <v/>
      </c>
      <c r="AO44" s="30" t="str">
        <f t="shared" si="10"/>
        <v xml:space="preserve">O     </v>
      </c>
      <c r="AP44" s="29" t="s">
        <v>9</v>
      </c>
    </row>
    <row r="45" spans="2:42">
      <c r="B45" s="24">
        <v>31</v>
      </c>
      <c r="C45" s="24" t="str">
        <f t="shared" si="0"/>
        <v/>
      </c>
      <c r="D45" s="24" t="str">
        <f>IF(ISERROR(VLOOKUP(C45,Settings!A:B,2,FALSE)),C45,VLOOKUP(C45,Settings!A:B,2,FALSE))</f>
        <v/>
      </c>
      <c r="E45" s="30" t="str">
        <f t="shared" si="8"/>
        <v>H</v>
      </c>
      <c r="F45" s="24" t="str">
        <f t="shared" si="9"/>
        <v/>
      </c>
      <c r="G45" s="24" t="str">
        <f>IF(ISNA(VLOOKUP(F45,Settings!G:H,2,FALSE)),"",VLOOKUP(F45,Settings!G:H,2,FALSE))</f>
        <v/>
      </c>
      <c r="H45" s="25"/>
      <c r="S45" s="16"/>
      <c r="X45" s="16"/>
      <c r="AA45" s="16"/>
      <c r="AG45" s="16"/>
      <c r="AL45" s="29">
        <f t="shared" si="7"/>
        <v>1</v>
      </c>
      <c r="AM45" s="29"/>
      <c r="AN45" s="29" t="str">
        <f>IF(ISNA(VLOOKUP(AM45,Settings!G:H,2,FALSE)),"",VLOOKUP(AM45,Settings!G:H,2,FALSE))</f>
        <v/>
      </c>
      <c r="AO45" s="30" t="str">
        <f t="shared" si="10"/>
        <v xml:space="preserve">O      </v>
      </c>
      <c r="AP45" s="29" t="s">
        <v>9</v>
      </c>
    </row>
    <row r="46" spans="2:42">
      <c r="B46" s="24">
        <v>32</v>
      </c>
      <c r="C46" s="24" t="str">
        <f t="shared" si="0"/>
        <v/>
      </c>
      <c r="D46" s="24" t="str">
        <f>IF(ISERROR(VLOOKUP(C46,Settings!A:B,2,FALSE)),C46,VLOOKUP(C46,Settings!A:B,2,FALSE))</f>
        <v/>
      </c>
      <c r="E46" s="30" t="str">
        <f t="shared" si="8"/>
        <v>H</v>
      </c>
      <c r="F46" s="24" t="str">
        <f t="shared" si="9"/>
        <v/>
      </c>
      <c r="G46" s="24" t="str">
        <f>IF(ISNA(VLOOKUP(F46,Settings!G:H,2,FALSE)),"",VLOOKUP(F46,Settings!G:H,2,FALSE))</f>
        <v/>
      </c>
      <c r="H46" s="25"/>
      <c r="S46" s="16"/>
      <c r="X46" s="16"/>
      <c r="AA46" s="16"/>
      <c r="AG46" s="16"/>
      <c r="AL46" s="29">
        <f t="shared" si="7"/>
        <v>2</v>
      </c>
      <c r="AM46" s="29"/>
      <c r="AN46" s="29" t="str">
        <f>IF(ISNA(VLOOKUP(AM46,Settings!G:H,2,FALSE)),"",VLOOKUP(AM46,Settings!G:H,2,FALSE))</f>
        <v/>
      </c>
      <c r="AO46" s="30" t="str">
        <f t="shared" si="10"/>
        <v xml:space="preserve">O      </v>
      </c>
      <c r="AP46" s="29" t="s">
        <v>9</v>
      </c>
    </row>
    <row r="47" spans="2:42">
      <c r="B47" s="24">
        <v>33</v>
      </c>
      <c r="C47" s="24" t="str">
        <f t="shared" si="0"/>
        <v/>
      </c>
      <c r="D47" s="24" t="str">
        <f>IF(ISERROR(VLOOKUP(C47,Settings!A:B,2,FALSE)),C47,VLOOKUP(C47,Settings!A:B,2,FALSE))</f>
        <v/>
      </c>
      <c r="E47" s="30" t="str">
        <f t="shared" si="8"/>
        <v>H</v>
      </c>
      <c r="F47" s="24" t="str">
        <f t="shared" si="9"/>
        <v/>
      </c>
      <c r="G47" s="24" t="str">
        <f>IF(ISNA(VLOOKUP(F47,Settings!G:H,2,FALSE)),"",VLOOKUP(F47,Settings!G:H,2,FALSE))</f>
        <v/>
      </c>
      <c r="H47" s="25"/>
      <c r="S47" s="16"/>
      <c r="AA47" s="16"/>
      <c r="AG47" s="16"/>
      <c r="AL47" s="29">
        <f t="shared" si="7"/>
        <v>3</v>
      </c>
      <c r="AM47" s="29"/>
      <c r="AN47" s="29" t="str">
        <f>IF(ISNA(VLOOKUP(AM47,Settings!G:H,2,FALSE)),"",VLOOKUP(AM47,Settings!G:H,2,FALSE))</f>
        <v/>
      </c>
      <c r="AO47" s="30" t="str">
        <f t="shared" si="10"/>
        <v xml:space="preserve">O      </v>
      </c>
      <c r="AP47" s="29" t="s">
        <v>9</v>
      </c>
    </row>
    <row r="48" spans="2:42">
      <c r="B48" s="24">
        <v>34</v>
      </c>
      <c r="C48" s="24" t="str">
        <f t="shared" si="0"/>
        <v/>
      </c>
      <c r="D48" s="24" t="str">
        <f>IF(ISERROR(VLOOKUP(C48,Settings!A:B,2,FALSE)),C48,VLOOKUP(C48,Settings!A:B,2,FALSE))</f>
        <v/>
      </c>
      <c r="E48" s="30" t="str">
        <f t="shared" si="8"/>
        <v>H</v>
      </c>
      <c r="F48" s="24" t="str">
        <f t="shared" si="9"/>
        <v/>
      </c>
      <c r="G48" s="24" t="str">
        <f>IF(ISNA(VLOOKUP(F48,Settings!G:H,2,FALSE)),"",VLOOKUP(F48,Settings!G:H,2,FALSE))</f>
        <v/>
      </c>
      <c r="H48" s="25"/>
      <c r="AA48" s="16"/>
      <c r="AL48" s="29">
        <f t="shared" si="7"/>
        <v>4</v>
      </c>
      <c r="AM48" s="29"/>
      <c r="AN48" s="29" t="str">
        <f>IF(ISNA(VLOOKUP(AM48,Settings!G:H,2,FALSE)),"",VLOOKUP(AM48,Settings!G:H,2,FALSE))</f>
        <v/>
      </c>
      <c r="AO48" s="30" t="str">
        <f t="shared" si="10"/>
        <v xml:space="preserve">O      </v>
      </c>
      <c r="AP48" s="29" t="s">
        <v>9</v>
      </c>
    </row>
    <row r="49" spans="2:42">
      <c r="B49" s="24">
        <v>35</v>
      </c>
      <c r="C49" s="24" t="str">
        <f t="shared" si="0"/>
        <v/>
      </c>
      <c r="D49" s="24" t="str">
        <f>IF(ISERROR(VLOOKUP(C49,Settings!A:B,2,FALSE)),C49,VLOOKUP(C49,Settings!A:B,2,FALSE))</f>
        <v/>
      </c>
      <c r="E49" s="30" t="str">
        <f t="shared" si="8"/>
        <v>H</v>
      </c>
      <c r="F49" s="24" t="str">
        <f t="shared" si="9"/>
        <v/>
      </c>
      <c r="G49" s="24" t="str">
        <f>IF(ISNA(VLOOKUP(F49,Settings!G:H,2,FALSE)),"",VLOOKUP(F49,Settings!G:H,2,FALSE))</f>
        <v/>
      </c>
      <c r="H49" s="25"/>
      <c r="AL49" s="29">
        <f t="shared" si="7"/>
        <v>5</v>
      </c>
      <c r="AM49" s="29"/>
      <c r="AN49" s="29" t="str">
        <f>IF(ISNA(VLOOKUP(AM49,Settings!G:H,2,FALSE)),"",VLOOKUP(AM49,Settings!G:H,2,FALSE))</f>
        <v/>
      </c>
      <c r="AO49" s="30" t="str">
        <f t="shared" si="10"/>
        <v xml:space="preserve">O      </v>
      </c>
      <c r="AP49" s="29" t="s">
        <v>9</v>
      </c>
    </row>
    <row r="50" spans="2:42">
      <c r="B50" s="24">
        <v>36</v>
      </c>
      <c r="C50" s="24" t="str">
        <f t="shared" si="0"/>
        <v/>
      </c>
      <c r="D50" s="24" t="str">
        <f>IF(ISERROR(VLOOKUP(C50,Settings!A:B,2,FALSE)),C50,VLOOKUP(C50,Settings!A:B,2,FALSE))</f>
        <v/>
      </c>
      <c r="E50" s="30" t="str">
        <f t="shared" si="8"/>
        <v>H</v>
      </c>
      <c r="F50" s="24" t="str">
        <f t="shared" si="9"/>
        <v/>
      </c>
      <c r="G50" s="24" t="str">
        <f>IF(ISNA(VLOOKUP(F50,Settings!G:H,2,FALSE)),"",VLOOKUP(F50,Settings!G:H,2,FALSE))</f>
        <v/>
      </c>
      <c r="H50" s="25"/>
      <c r="AL50" s="29">
        <f t="shared" si="7"/>
        <v>1</v>
      </c>
      <c r="AM50" s="29"/>
      <c r="AN50" s="29" t="str">
        <f>IF(ISNA(VLOOKUP(AM50,Settings!G:H,2,FALSE)),"",VLOOKUP(AM50,Settings!G:H,2,FALSE))</f>
        <v/>
      </c>
      <c r="AO50" s="30" t="str">
        <f t="shared" si="10"/>
        <v xml:space="preserve">O       </v>
      </c>
      <c r="AP50" s="29" t="s">
        <v>9</v>
      </c>
    </row>
    <row r="51" spans="2:42">
      <c r="B51" s="24">
        <v>37</v>
      </c>
      <c r="C51" s="24" t="str">
        <f t="shared" si="0"/>
        <v/>
      </c>
      <c r="D51" s="24" t="str">
        <f>IF(ISERROR(VLOOKUP(C51,Settings!A:B,2,FALSE)),C51,VLOOKUP(C51,Settings!A:B,2,FALSE))</f>
        <v/>
      </c>
      <c r="E51" s="30" t="str">
        <f t="shared" si="8"/>
        <v>H</v>
      </c>
      <c r="F51" s="24" t="str">
        <f t="shared" si="9"/>
        <v/>
      </c>
      <c r="G51" s="24" t="str">
        <f>IF(ISNA(VLOOKUP(F51,Settings!G:H,2,FALSE)),"",VLOOKUP(F51,Settings!G:H,2,FALSE))</f>
        <v/>
      </c>
      <c r="H51" s="25"/>
      <c r="AL51" s="29">
        <f t="shared" si="7"/>
        <v>2</v>
      </c>
      <c r="AM51" s="29"/>
      <c r="AN51" s="29" t="str">
        <f>IF(ISNA(VLOOKUP(AM51,Settings!G:H,2,FALSE)),"",VLOOKUP(AM51,Settings!G:H,2,FALSE))</f>
        <v/>
      </c>
      <c r="AO51" s="30" t="str">
        <f t="shared" si="10"/>
        <v xml:space="preserve">O       </v>
      </c>
      <c r="AP51" s="29" t="s">
        <v>9</v>
      </c>
    </row>
    <row r="52" spans="2:42">
      <c r="B52" s="24">
        <v>38</v>
      </c>
      <c r="C52" s="24" t="str">
        <f t="shared" si="0"/>
        <v/>
      </c>
      <c r="D52" s="24" t="str">
        <f>IF(ISERROR(VLOOKUP(C52,Settings!A:B,2,FALSE)),C52,VLOOKUP(C52,Settings!A:B,2,FALSE))</f>
        <v/>
      </c>
      <c r="E52" s="30" t="str">
        <f t="shared" si="8"/>
        <v>H</v>
      </c>
      <c r="F52" s="24" t="str">
        <f t="shared" si="9"/>
        <v/>
      </c>
      <c r="G52" s="24" t="str">
        <f>IF(ISNA(VLOOKUP(F52,Settings!G:H,2,FALSE)),"",VLOOKUP(F52,Settings!G:H,2,FALSE))</f>
        <v/>
      </c>
      <c r="H52" s="25"/>
      <c r="AL52" s="29">
        <f t="shared" si="7"/>
        <v>3</v>
      </c>
      <c r="AM52" s="29"/>
      <c r="AN52" s="29" t="str">
        <f>IF(ISNA(VLOOKUP(AM52,Settings!G:H,2,FALSE)),"",VLOOKUP(AM52,Settings!G:H,2,FALSE))</f>
        <v/>
      </c>
      <c r="AO52" s="30" t="str">
        <f t="shared" si="10"/>
        <v xml:space="preserve">O       </v>
      </c>
      <c r="AP52" s="29" t="s">
        <v>9</v>
      </c>
    </row>
    <row r="53" spans="2:42">
      <c r="B53" s="24">
        <v>39</v>
      </c>
      <c r="C53" s="24" t="str">
        <f t="shared" si="0"/>
        <v/>
      </c>
      <c r="D53" s="24" t="str">
        <f>IF(ISERROR(VLOOKUP(C53,Settings!A:B,2,FALSE)),C53,VLOOKUP(C53,Settings!A:B,2,FALSE))</f>
        <v/>
      </c>
      <c r="E53" s="30" t="str">
        <f t="shared" si="8"/>
        <v>H</v>
      </c>
      <c r="F53" s="24" t="str">
        <f t="shared" si="9"/>
        <v/>
      </c>
      <c r="G53" s="24" t="str">
        <f>IF(ISNA(VLOOKUP(F53,Settings!G:H,2,FALSE)),"",VLOOKUP(F53,Settings!G:H,2,FALSE))</f>
        <v/>
      </c>
      <c r="H53" s="25"/>
      <c r="AL53" s="29">
        <f t="shared" si="7"/>
        <v>4</v>
      </c>
      <c r="AM53" s="29"/>
      <c r="AN53" s="29" t="str">
        <f>IF(ISNA(VLOOKUP(AM53,Settings!G:H,2,FALSE)),"",VLOOKUP(AM53,Settings!G:H,2,FALSE))</f>
        <v/>
      </c>
      <c r="AO53" s="30" t="str">
        <f t="shared" si="10"/>
        <v xml:space="preserve">O       </v>
      </c>
      <c r="AP53" s="29" t="s">
        <v>9</v>
      </c>
    </row>
    <row r="54" spans="2:42">
      <c r="B54" s="24">
        <v>40</v>
      </c>
      <c r="C54" s="24" t="str">
        <f t="shared" si="0"/>
        <v/>
      </c>
      <c r="D54" s="24" t="str">
        <f>IF(ISERROR(VLOOKUP(C54,Settings!A:B,2,FALSE)),C54,VLOOKUP(C54,Settings!A:B,2,FALSE))</f>
        <v/>
      </c>
      <c r="E54" s="30" t="str">
        <f t="shared" si="8"/>
        <v>H</v>
      </c>
      <c r="F54" s="24" t="str">
        <f t="shared" si="9"/>
        <v/>
      </c>
      <c r="G54" s="24" t="str">
        <f>IF(ISNA(VLOOKUP(F54,Settings!G:H,2,FALSE)),"",VLOOKUP(F54,Settings!G:H,2,FALSE))</f>
        <v/>
      </c>
      <c r="H54" s="25"/>
      <c r="AL54" s="29">
        <f t="shared" si="7"/>
        <v>5</v>
      </c>
      <c r="AM54" s="29"/>
      <c r="AN54" s="29" t="str">
        <f>IF(ISNA(VLOOKUP(AM54,Settings!G:H,2,FALSE)),"",VLOOKUP(AM54,Settings!G:H,2,FALSE))</f>
        <v/>
      </c>
      <c r="AO54" s="30" t="str">
        <f t="shared" si="10"/>
        <v xml:space="preserve">O       </v>
      </c>
      <c r="AP54" s="29" t="s">
        <v>9</v>
      </c>
    </row>
    <row r="55" spans="2:42">
      <c r="B55" s="24">
        <v>41</v>
      </c>
      <c r="C55" s="24" t="str">
        <f t="shared" si="0"/>
        <v/>
      </c>
      <c r="D55" s="24" t="str">
        <f>IF(ISERROR(VLOOKUP(C55,Settings!A:B,2,FALSE)),C55,VLOOKUP(C55,Settings!A:B,2,FALSE))</f>
        <v/>
      </c>
      <c r="E55" s="30" t="str">
        <f t="shared" si="8"/>
        <v>H</v>
      </c>
      <c r="F55" s="24" t="str">
        <f t="shared" si="9"/>
        <v/>
      </c>
      <c r="G55" s="24" t="str">
        <f>IF(ISNA(VLOOKUP(F55,Settings!G:H,2,FALSE)),"",VLOOKUP(F55,Settings!G:H,2,FALSE))</f>
        <v/>
      </c>
      <c r="H55" s="25"/>
      <c r="AL55" s="29">
        <f t="shared" si="7"/>
        <v>1</v>
      </c>
      <c r="AM55" s="29"/>
      <c r="AN55" s="29" t="str">
        <f>IF(ISNA(VLOOKUP(AM55,Settings!G:H,2,FALSE)),"",VLOOKUP(AM55,Settings!G:H,2,FALSE))</f>
        <v/>
      </c>
      <c r="AO55" s="30" t="str">
        <f t="shared" si="10"/>
        <v xml:space="preserve">O        </v>
      </c>
      <c r="AP55" s="29" t="s">
        <v>9</v>
      </c>
    </row>
    <row r="56" spans="2:42">
      <c r="B56" s="24">
        <v>42</v>
      </c>
      <c r="C56" s="24" t="str">
        <f t="shared" si="0"/>
        <v/>
      </c>
      <c r="D56" s="24" t="str">
        <f>IF(ISERROR(VLOOKUP(C56,Settings!A:B,2,FALSE)),C56,VLOOKUP(C56,Settings!A:B,2,FALSE))</f>
        <v/>
      </c>
      <c r="E56" s="30" t="str">
        <f t="shared" si="8"/>
        <v>H</v>
      </c>
      <c r="F56" s="24" t="str">
        <f t="shared" si="9"/>
        <v/>
      </c>
      <c r="G56" s="24" t="str">
        <f>IF(ISNA(VLOOKUP(F56,Settings!G:H,2,FALSE)),"",VLOOKUP(F56,Settings!G:H,2,FALSE))</f>
        <v/>
      </c>
      <c r="H56" s="25"/>
      <c r="AL56" s="29">
        <f t="shared" si="7"/>
        <v>2</v>
      </c>
      <c r="AM56" s="29"/>
      <c r="AN56" s="29" t="str">
        <f>IF(ISNA(VLOOKUP(AM56,Settings!G:H,2,FALSE)),"",VLOOKUP(AM56,Settings!G:H,2,FALSE))</f>
        <v/>
      </c>
      <c r="AO56" s="30" t="str">
        <f t="shared" si="10"/>
        <v xml:space="preserve">O        </v>
      </c>
      <c r="AP56" s="29" t="s">
        <v>9</v>
      </c>
    </row>
    <row r="57" spans="2:42">
      <c r="B57" s="24">
        <v>43</v>
      </c>
      <c r="C57" s="24" t="str">
        <f t="shared" si="0"/>
        <v/>
      </c>
      <c r="D57" s="24" t="str">
        <f>IF(ISERROR(VLOOKUP(C57,Settings!A:B,2,FALSE)),C57,VLOOKUP(C57,Settings!A:B,2,FALSE))</f>
        <v/>
      </c>
      <c r="E57" s="30" t="str">
        <f t="shared" si="8"/>
        <v>H</v>
      </c>
      <c r="F57" s="24" t="str">
        <f t="shared" si="9"/>
        <v/>
      </c>
      <c r="G57" s="24" t="str">
        <f>IF(ISNA(VLOOKUP(F57,Settings!G:H,2,FALSE)),"",VLOOKUP(F57,Settings!G:H,2,FALSE))</f>
        <v/>
      </c>
      <c r="H57" s="25"/>
      <c r="AL57" s="29">
        <f t="shared" si="7"/>
        <v>3</v>
      </c>
      <c r="AM57" s="29"/>
      <c r="AN57" s="29" t="str">
        <f>IF(ISNA(VLOOKUP(AM57,Settings!G:H,2,FALSE)),"",VLOOKUP(AM57,Settings!G:H,2,FALSE))</f>
        <v/>
      </c>
      <c r="AO57" s="30" t="str">
        <f t="shared" si="10"/>
        <v xml:space="preserve">O        </v>
      </c>
      <c r="AP57" s="29" t="s">
        <v>9</v>
      </c>
    </row>
    <row r="58" spans="2:42">
      <c r="B58" s="24">
        <v>44</v>
      </c>
      <c r="C58" s="24" t="str">
        <f t="shared" si="0"/>
        <v/>
      </c>
      <c r="D58" s="24" t="str">
        <f>IF(ISERROR(VLOOKUP(C58,Settings!A:B,2,FALSE)),C58,VLOOKUP(C58,Settings!A:B,2,FALSE))</f>
        <v/>
      </c>
      <c r="E58" s="30" t="str">
        <f t="shared" si="8"/>
        <v>H</v>
      </c>
      <c r="F58" s="24" t="str">
        <f t="shared" si="9"/>
        <v/>
      </c>
      <c r="G58" s="24" t="str">
        <f>IF(ISNA(VLOOKUP(F58,Settings!G:H,2,FALSE)),"",VLOOKUP(F58,Settings!G:H,2,FALSE))</f>
        <v/>
      </c>
      <c r="H58" s="25"/>
      <c r="AL58" s="29">
        <f t="shared" si="7"/>
        <v>4</v>
      </c>
      <c r="AM58" s="29"/>
      <c r="AN58" s="29" t="str">
        <f>IF(ISNA(VLOOKUP(AM58,Settings!G:H,2,FALSE)),"",VLOOKUP(AM58,Settings!G:H,2,FALSE))</f>
        <v/>
      </c>
      <c r="AO58" s="30" t="str">
        <f t="shared" si="10"/>
        <v xml:space="preserve">O        </v>
      </c>
      <c r="AP58" s="29" t="s">
        <v>9</v>
      </c>
    </row>
    <row r="59" spans="2:42">
      <c r="B59" s="24">
        <v>45</v>
      </c>
      <c r="C59" s="24" t="str">
        <f t="shared" si="0"/>
        <v/>
      </c>
      <c r="D59" s="24" t="str">
        <f>IF(ISERROR(VLOOKUP(C59,Settings!A:B,2,FALSE)),C59,VLOOKUP(C59,Settings!A:B,2,FALSE))</f>
        <v/>
      </c>
      <c r="E59" s="30" t="str">
        <f t="shared" si="8"/>
        <v>H</v>
      </c>
      <c r="F59" s="24" t="str">
        <f t="shared" si="9"/>
        <v/>
      </c>
      <c r="G59" s="24" t="str">
        <f>IF(ISNA(VLOOKUP(F59,Settings!G:H,2,FALSE)),"",VLOOKUP(F59,Settings!G:H,2,FALSE))</f>
        <v/>
      </c>
      <c r="H59" s="25"/>
      <c r="AL59" s="29">
        <f t="shared" si="7"/>
        <v>5</v>
      </c>
      <c r="AM59" s="29"/>
      <c r="AN59" s="29" t="str">
        <f>IF(ISNA(VLOOKUP(AM59,Settings!G:H,2,FALSE)),"",VLOOKUP(AM59,Settings!G:H,2,FALSE))</f>
        <v/>
      </c>
      <c r="AO59" s="30" t="str">
        <f t="shared" si="10"/>
        <v xml:space="preserve">O        </v>
      </c>
      <c r="AP59" s="29" t="s">
        <v>9</v>
      </c>
    </row>
    <row r="60" spans="2:42">
      <c r="B60" s="24">
        <v>46</v>
      </c>
      <c r="C60" s="24" t="str">
        <f t="shared" si="0"/>
        <v/>
      </c>
      <c r="D60" s="24" t="str">
        <f>IF(ISERROR(VLOOKUP(C60,Settings!A:B,2,FALSE)),C60,VLOOKUP(C60,Settings!A:B,2,FALSE))</f>
        <v/>
      </c>
      <c r="E60" s="30" t="str">
        <f t="shared" si="8"/>
        <v>H</v>
      </c>
      <c r="F60" s="24" t="str">
        <f t="shared" si="9"/>
        <v/>
      </c>
      <c r="G60" s="24" t="str">
        <f>IF(ISNA(VLOOKUP(F60,Settings!G:H,2,FALSE)),"",VLOOKUP(F60,Settings!G:H,2,FALSE))</f>
        <v/>
      </c>
      <c r="H60" s="25"/>
      <c r="AL60" s="29">
        <f t="shared" si="7"/>
        <v>1</v>
      </c>
      <c r="AM60" s="29"/>
      <c r="AN60" s="29" t="str">
        <f>IF(ISNA(VLOOKUP(AM60,Settings!G:H,2,FALSE)),"",VLOOKUP(AM60,Settings!G:H,2,FALSE))</f>
        <v/>
      </c>
      <c r="AO60" s="30" t="str">
        <f t="shared" si="10"/>
        <v xml:space="preserve">O         </v>
      </c>
      <c r="AP60" s="29" t="s">
        <v>9</v>
      </c>
    </row>
    <row r="61" spans="2:42">
      <c r="B61" s="24">
        <v>47</v>
      </c>
      <c r="C61" s="24" t="str">
        <f t="shared" si="0"/>
        <v/>
      </c>
      <c r="D61" s="24" t="str">
        <f>IF(ISERROR(VLOOKUP(C61,Settings!A:B,2,FALSE)),C61,VLOOKUP(C61,Settings!A:B,2,FALSE))</f>
        <v/>
      </c>
      <c r="E61" s="30" t="str">
        <f t="shared" si="8"/>
        <v>H</v>
      </c>
      <c r="F61" s="24" t="str">
        <f t="shared" si="9"/>
        <v/>
      </c>
      <c r="G61" s="24" t="str">
        <f>IF(ISNA(VLOOKUP(F61,Settings!G:H,2,FALSE)),"",VLOOKUP(F61,Settings!G:H,2,FALSE))</f>
        <v/>
      </c>
      <c r="H61" s="25"/>
      <c r="AL61" s="29">
        <f t="shared" si="7"/>
        <v>2</v>
      </c>
      <c r="AM61" s="29"/>
      <c r="AN61" s="29" t="str">
        <f>IF(ISNA(VLOOKUP(AM61,Settings!G:H,2,FALSE)),"",VLOOKUP(AM61,Settings!G:H,2,FALSE))</f>
        <v/>
      </c>
      <c r="AO61" s="30" t="str">
        <f t="shared" si="10"/>
        <v xml:space="preserve">O         </v>
      </c>
      <c r="AP61" s="29" t="s">
        <v>9</v>
      </c>
    </row>
    <row r="62" spans="2:42">
      <c r="B62" s="24">
        <v>48</v>
      </c>
      <c r="C62" s="24" t="str">
        <f t="shared" si="0"/>
        <v/>
      </c>
      <c r="D62" s="24" t="str">
        <f>IF(ISERROR(VLOOKUP(C62,Settings!A:B,2,FALSE)),C62,VLOOKUP(C62,Settings!A:B,2,FALSE))</f>
        <v/>
      </c>
      <c r="E62" s="30" t="str">
        <f t="shared" si="8"/>
        <v>H</v>
      </c>
      <c r="F62" s="24" t="str">
        <f t="shared" si="9"/>
        <v/>
      </c>
      <c r="G62" s="24" t="str">
        <f>IF(ISNA(VLOOKUP(F62,Settings!G:H,2,FALSE)),"",VLOOKUP(F62,Settings!G:H,2,FALSE))</f>
        <v/>
      </c>
      <c r="H62" s="25"/>
      <c r="AL62" s="29">
        <f t="shared" si="7"/>
        <v>3</v>
      </c>
      <c r="AM62" s="29"/>
      <c r="AN62" s="29" t="str">
        <f>IF(ISNA(VLOOKUP(AM62,Settings!G:H,2,FALSE)),"",VLOOKUP(AM62,Settings!G:H,2,FALSE))</f>
        <v/>
      </c>
      <c r="AO62" s="30" t="str">
        <f t="shared" si="10"/>
        <v xml:space="preserve">O         </v>
      </c>
      <c r="AP62" s="29" t="s">
        <v>9</v>
      </c>
    </row>
    <row r="63" spans="2:42">
      <c r="B63" s="24">
        <v>49</v>
      </c>
      <c r="C63" s="24" t="str">
        <f t="shared" si="0"/>
        <v/>
      </c>
      <c r="D63" s="24" t="str">
        <f>IF(ISERROR(VLOOKUP(C63,Settings!A:B,2,FALSE)),C63,VLOOKUP(C63,Settings!A:B,2,FALSE))</f>
        <v/>
      </c>
      <c r="E63" s="30" t="str">
        <f t="shared" si="8"/>
        <v>H</v>
      </c>
      <c r="F63" s="24" t="str">
        <f t="shared" si="9"/>
        <v/>
      </c>
      <c r="G63" s="24" t="str">
        <f>IF(ISNA(VLOOKUP(F63,Settings!G:H,2,FALSE)),"",VLOOKUP(F63,Settings!G:H,2,FALSE))</f>
        <v/>
      </c>
      <c r="H63" s="25"/>
      <c r="AL63" s="29">
        <f t="shared" si="7"/>
        <v>4</v>
      </c>
      <c r="AM63" s="29"/>
      <c r="AN63" s="29" t="str">
        <f>IF(ISNA(VLOOKUP(AM63,Settings!G:H,2,FALSE)),"",VLOOKUP(AM63,Settings!G:H,2,FALSE))</f>
        <v/>
      </c>
      <c r="AO63" s="30" t="str">
        <f t="shared" si="10"/>
        <v xml:space="preserve">O         </v>
      </c>
      <c r="AP63" s="29" t="s">
        <v>9</v>
      </c>
    </row>
    <row r="64" spans="2:42">
      <c r="B64" s="24">
        <v>50</v>
      </c>
      <c r="C64" s="24" t="str">
        <f t="shared" si="0"/>
        <v/>
      </c>
      <c r="D64" s="24" t="str">
        <f>IF(ISERROR(VLOOKUP(C64,Settings!A:B,2,FALSE)),C64,VLOOKUP(C64,Settings!A:B,2,FALSE))</f>
        <v/>
      </c>
      <c r="E64" s="30" t="str">
        <f t="shared" si="8"/>
        <v>H</v>
      </c>
      <c r="F64" s="24" t="str">
        <f t="shared" si="9"/>
        <v/>
      </c>
      <c r="G64" s="24" t="str">
        <f>IF(ISNA(VLOOKUP(F64,Settings!G:H,2,FALSE)),"",VLOOKUP(F64,Settings!G:H,2,FALSE))</f>
        <v/>
      </c>
      <c r="H64" s="25"/>
      <c r="AL64" s="29">
        <f t="shared" si="7"/>
        <v>5</v>
      </c>
      <c r="AM64" s="29"/>
      <c r="AN64" s="29" t="str">
        <f>IF(ISNA(VLOOKUP(AM64,Settings!G:H,2,FALSE)),"",VLOOKUP(AM64,Settings!G:H,2,FALSE))</f>
        <v/>
      </c>
      <c r="AO64" s="30" t="str">
        <f t="shared" si="10"/>
        <v xml:space="preserve">O         </v>
      </c>
      <c r="AP64" s="29" t="s">
        <v>9</v>
      </c>
    </row>
    <row r="65" spans="2:42">
      <c r="B65" s="24">
        <v>51</v>
      </c>
      <c r="C65" s="24" t="str">
        <f t="shared" si="0"/>
        <v/>
      </c>
      <c r="D65" s="24" t="str">
        <f>IF(ISERROR(VLOOKUP(C65,Settings!A:B,2,FALSE)),C65,VLOOKUP(C65,Settings!A:B,2,FALSE))</f>
        <v/>
      </c>
      <c r="E65" s="30" t="str">
        <f t="shared" si="8"/>
        <v>H</v>
      </c>
      <c r="F65" s="24" t="str">
        <f t="shared" si="9"/>
        <v/>
      </c>
      <c r="G65" s="24" t="str">
        <f>IF(ISNA(VLOOKUP(F65,Settings!G:H,2,FALSE)),"",VLOOKUP(F65,Settings!G:H,2,FALSE))</f>
        <v/>
      </c>
      <c r="H65" s="25"/>
      <c r="AL65" s="29">
        <f t="shared" si="7"/>
        <v>1</v>
      </c>
      <c r="AM65" s="29"/>
      <c r="AN65" s="29" t="str">
        <f>IF(ISNA(VLOOKUP(AM65,Settings!G:H,2,FALSE)),"",VLOOKUP(AM65,Settings!G:H,2,FALSE))</f>
        <v/>
      </c>
      <c r="AO65" s="30" t="str">
        <f t="shared" si="10"/>
        <v xml:space="preserve">O          </v>
      </c>
      <c r="AP65" s="29" t="s">
        <v>9</v>
      </c>
    </row>
    <row r="66" spans="2:42">
      <c r="B66" s="24">
        <v>52</v>
      </c>
      <c r="C66" s="24" t="str">
        <f t="shared" si="0"/>
        <v/>
      </c>
      <c r="D66" s="24" t="str">
        <f>IF(ISERROR(VLOOKUP(C66,Settings!A:B,2,FALSE)),C66,VLOOKUP(C66,Settings!A:B,2,FALSE))</f>
        <v/>
      </c>
      <c r="E66" s="30" t="str">
        <f t="shared" si="8"/>
        <v>H</v>
      </c>
      <c r="F66" s="24" t="str">
        <f t="shared" si="9"/>
        <v/>
      </c>
      <c r="G66" s="24" t="str">
        <f>IF(ISNA(VLOOKUP(F66,Settings!G:H,2,FALSE)),"",VLOOKUP(F66,Settings!G:H,2,FALSE))</f>
        <v/>
      </c>
      <c r="H66" s="25"/>
      <c r="AL66" s="29">
        <f t="shared" si="7"/>
        <v>2</v>
      </c>
      <c r="AM66" s="29"/>
      <c r="AN66" s="29" t="str">
        <f>IF(ISNA(VLOOKUP(AM66,Settings!G:H,2,FALSE)),"",VLOOKUP(AM66,Settings!G:H,2,FALSE))</f>
        <v/>
      </c>
      <c r="AO66" s="30" t="str">
        <f t="shared" si="10"/>
        <v xml:space="preserve">O          </v>
      </c>
      <c r="AP66" s="29" t="s">
        <v>9</v>
      </c>
    </row>
    <row r="67" spans="2:42">
      <c r="B67" s="24">
        <v>53</v>
      </c>
      <c r="C67" s="24" t="str">
        <f t="shared" si="0"/>
        <v/>
      </c>
      <c r="D67" s="24" t="str">
        <f>IF(ISERROR(VLOOKUP(C67,Settings!A:B,2,FALSE)),C67,VLOOKUP(C67,Settings!A:B,2,FALSE))</f>
        <v/>
      </c>
      <c r="E67" s="30" t="str">
        <f t="shared" si="8"/>
        <v>H</v>
      </c>
      <c r="F67" s="24" t="str">
        <f t="shared" si="9"/>
        <v/>
      </c>
      <c r="G67" s="24" t="str">
        <f>IF(ISNA(VLOOKUP(F67,Settings!G:H,2,FALSE)),"",VLOOKUP(F67,Settings!G:H,2,FALSE))</f>
        <v/>
      </c>
      <c r="H67" s="25"/>
      <c r="AL67" s="29">
        <f t="shared" si="7"/>
        <v>3</v>
      </c>
      <c r="AM67" s="29"/>
      <c r="AN67" s="29" t="str">
        <f>IF(ISNA(VLOOKUP(AM67,Settings!G:H,2,FALSE)),"",VLOOKUP(AM67,Settings!G:H,2,FALSE))</f>
        <v/>
      </c>
      <c r="AO67" s="30" t="str">
        <f t="shared" si="10"/>
        <v xml:space="preserve">O          </v>
      </c>
      <c r="AP67" s="29" t="s">
        <v>9</v>
      </c>
    </row>
    <row r="68" spans="2:42">
      <c r="B68" s="24">
        <v>54</v>
      </c>
      <c r="C68" s="24" t="str">
        <f t="shared" si="0"/>
        <v/>
      </c>
      <c r="D68" s="24" t="str">
        <f>IF(ISERROR(VLOOKUP(C68,Settings!A:B,2,FALSE)),C68,VLOOKUP(C68,Settings!A:B,2,FALSE))</f>
        <v/>
      </c>
      <c r="E68" s="30" t="str">
        <f t="shared" si="8"/>
        <v>H</v>
      </c>
      <c r="F68" s="24" t="str">
        <f t="shared" si="9"/>
        <v/>
      </c>
      <c r="G68" s="24" t="str">
        <f>IF(ISNA(VLOOKUP(F68,Settings!G:H,2,FALSE)),"",VLOOKUP(F68,Settings!G:H,2,FALSE))</f>
        <v/>
      </c>
      <c r="H68" s="25"/>
      <c r="AL68" s="29">
        <f t="shared" si="7"/>
        <v>4</v>
      </c>
      <c r="AM68" s="29"/>
      <c r="AN68" s="29" t="str">
        <f>IF(ISNA(VLOOKUP(AM68,Settings!G:H,2,FALSE)),"",VLOOKUP(AM68,Settings!G:H,2,FALSE))</f>
        <v/>
      </c>
      <c r="AO68" s="30" t="str">
        <f t="shared" si="10"/>
        <v xml:space="preserve">O          </v>
      </c>
      <c r="AP68" s="29" t="s">
        <v>9</v>
      </c>
    </row>
    <row r="69" spans="2:42">
      <c r="B69" s="24">
        <v>55</v>
      </c>
      <c r="C69" s="24" t="str">
        <f t="shared" si="0"/>
        <v/>
      </c>
      <c r="D69" s="24" t="str">
        <f>IF(ISERROR(VLOOKUP(C69,Settings!A:B,2,FALSE)),C69,VLOOKUP(C69,Settings!A:B,2,FALSE))</f>
        <v/>
      </c>
      <c r="E69" s="30" t="str">
        <f t="shared" si="8"/>
        <v>H</v>
      </c>
      <c r="F69" s="24" t="str">
        <f t="shared" si="9"/>
        <v/>
      </c>
      <c r="G69" s="24" t="str">
        <f>IF(ISNA(VLOOKUP(F69,Settings!G:H,2,FALSE)),"",VLOOKUP(F69,Settings!G:H,2,FALSE))</f>
        <v/>
      </c>
      <c r="H69" s="25"/>
      <c r="AL69" s="29">
        <f t="shared" si="7"/>
        <v>5</v>
      </c>
      <c r="AM69" s="29"/>
      <c r="AN69" s="29" t="str">
        <f>IF(ISNA(VLOOKUP(AM69,Settings!G:H,2,FALSE)),"",VLOOKUP(AM69,Settings!G:H,2,FALSE))</f>
        <v/>
      </c>
      <c r="AO69" s="30" t="str">
        <f t="shared" si="10"/>
        <v xml:space="preserve">O          </v>
      </c>
      <c r="AP69" s="29" t="s">
        <v>9</v>
      </c>
    </row>
    <row r="70" spans="2:42">
      <c r="B70" s="24">
        <v>56</v>
      </c>
      <c r="C70" s="24" t="str">
        <f t="shared" si="0"/>
        <v/>
      </c>
      <c r="D70" s="24" t="str">
        <f>IF(ISERROR(VLOOKUP(C70,Settings!A:B,2,FALSE)),C70,VLOOKUP(C70,Settings!A:B,2,FALSE))</f>
        <v/>
      </c>
      <c r="E70" s="30" t="str">
        <f t="shared" si="8"/>
        <v>H</v>
      </c>
      <c r="F70" s="24" t="str">
        <f t="shared" si="9"/>
        <v/>
      </c>
      <c r="G70" s="24" t="str">
        <f>IF(ISNA(VLOOKUP(F70,Settings!G:H,2,FALSE)),"",VLOOKUP(F70,Settings!G:H,2,FALSE))</f>
        <v/>
      </c>
      <c r="H70" s="25"/>
      <c r="AL70" s="29">
        <f t="shared" si="7"/>
        <v>1</v>
      </c>
      <c r="AM70" s="29"/>
      <c r="AN70" s="29" t="str">
        <f>IF(ISNA(VLOOKUP(AM70,Settings!G:H,2,FALSE)),"",VLOOKUP(AM70,Settings!G:H,2,FALSE))</f>
        <v/>
      </c>
      <c r="AO70" s="30" t="str">
        <f t="shared" si="10"/>
        <v xml:space="preserve">O           </v>
      </c>
      <c r="AP70" s="29" t="s">
        <v>9</v>
      </c>
    </row>
    <row r="71" spans="2:42">
      <c r="B71" s="24">
        <v>57</v>
      </c>
      <c r="C71" s="24" t="str">
        <f t="shared" si="0"/>
        <v/>
      </c>
      <c r="D71" s="24" t="str">
        <f>IF(ISERROR(VLOOKUP(C71,Settings!A:B,2,FALSE)),C71,VLOOKUP(C71,Settings!A:B,2,FALSE))</f>
        <v/>
      </c>
      <c r="E71" s="30" t="str">
        <f t="shared" si="8"/>
        <v>H</v>
      </c>
      <c r="F71" s="24" t="str">
        <f t="shared" si="9"/>
        <v/>
      </c>
      <c r="G71" s="24" t="str">
        <f>IF(ISNA(VLOOKUP(F71,Settings!G:H,2,FALSE)),"",VLOOKUP(F71,Settings!G:H,2,FALSE))</f>
        <v/>
      </c>
      <c r="H71" s="25"/>
      <c r="AL71" s="29">
        <f t="shared" si="7"/>
        <v>2</v>
      </c>
      <c r="AM71" s="29"/>
      <c r="AN71" s="29" t="str">
        <f>IF(ISNA(VLOOKUP(AM71,Settings!G:H,2,FALSE)),"",VLOOKUP(AM71,Settings!G:H,2,FALSE))</f>
        <v/>
      </c>
      <c r="AO71" s="30" t="str">
        <f t="shared" si="10"/>
        <v xml:space="preserve">O           </v>
      </c>
      <c r="AP71" s="29" t="s">
        <v>9</v>
      </c>
    </row>
    <row r="72" spans="2:42">
      <c r="B72" s="24">
        <v>58</v>
      </c>
      <c r="C72" s="24" t="str">
        <f t="shared" si="0"/>
        <v/>
      </c>
      <c r="D72" s="24" t="str">
        <f>IF(ISERROR(VLOOKUP(C72,Settings!A:B,2,FALSE)),C72,VLOOKUP(C72,Settings!A:B,2,FALSE))</f>
        <v/>
      </c>
      <c r="E72" s="30" t="str">
        <f t="shared" si="8"/>
        <v>H</v>
      </c>
      <c r="F72" s="24" t="str">
        <f t="shared" si="9"/>
        <v/>
      </c>
      <c r="G72" s="24" t="str">
        <f>IF(ISNA(VLOOKUP(F72,Settings!G:H,2,FALSE)),"",VLOOKUP(F72,Settings!G:H,2,FALSE))</f>
        <v/>
      </c>
      <c r="H72" s="25"/>
      <c r="AL72" s="29">
        <f t="shared" si="7"/>
        <v>3</v>
      </c>
      <c r="AM72" s="29"/>
      <c r="AN72" s="29" t="str">
        <f>IF(ISNA(VLOOKUP(AM72,Settings!G:H,2,FALSE)),"",VLOOKUP(AM72,Settings!G:H,2,FALSE))</f>
        <v/>
      </c>
      <c r="AO72" s="30" t="str">
        <f t="shared" si="10"/>
        <v xml:space="preserve">O           </v>
      </c>
      <c r="AP72" s="29" t="s">
        <v>9</v>
      </c>
    </row>
    <row r="73" spans="2:42">
      <c r="B73" s="24">
        <v>59</v>
      </c>
      <c r="C73" s="24" t="str">
        <f t="shared" si="0"/>
        <v/>
      </c>
      <c r="D73" s="24" t="str">
        <f>IF(ISERROR(VLOOKUP(C73,Settings!A:B,2,FALSE)),C73,VLOOKUP(C73,Settings!A:B,2,FALSE))</f>
        <v/>
      </c>
      <c r="E73" s="30" t="str">
        <f t="shared" si="8"/>
        <v>H</v>
      </c>
      <c r="F73" s="24" t="str">
        <f t="shared" si="9"/>
        <v/>
      </c>
      <c r="G73" s="24" t="str">
        <f>IF(ISNA(VLOOKUP(F73,Settings!G:H,2,FALSE)),"",VLOOKUP(F73,Settings!G:H,2,FALSE))</f>
        <v/>
      </c>
      <c r="H73" s="25"/>
      <c r="AL73" s="29">
        <f t="shared" si="7"/>
        <v>4</v>
      </c>
      <c r="AM73" s="29"/>
      <c r="AN73" s="29" t="str">
        <f>IF(ISNA(VLOOKUP(AM73,Settings!G:H,2,FALSE)),"",VLOOKUP(AM73,Settings!G:H,2,FALSE))</f>
        <v/>
      </c>
      <c r="AO73" s="30" t="str">
        <f t="shared" si="10"/>
        <v xml:space="preserve">O           </v>
      </c>
      <c r="AP73" s="29" t="s">
        <v>9</v>
      </c>
    </row>
    <row r="74" spans="2:42">
      <c r="B74" s="24">
        <v>60</v>
      </c>
      <c r="C74" s="24" t="str">
        <f t="shared" si="0"/>
        <v/>
      </c>
      <c r="D74" s="24" t="str">
        <f>IF(ISERROR(VLOOKUP(C74,Settings!A:B,2,FALSE)),C74,VLOOKUP(C74,Settings!A:B,2,FALSE))</f>
        <v/>
      </c>
      <c r="E74" s="30" t="str">
        <f t="shared" si="8"/>
        <v>H</v>
      </c>
      <c r="F74" s="24" t="str">
        <f t="shared" si="9"/>
        <v/>
      </c>
      <c r="G74" s="24" t="str">
        <f>IF(ISNA(VLOOKUP(F74,Settings!G:H,2,FALSE)),"",VLOOKUP(F74,Settings!G:H,2,FALSE))</f>
        <v/>
      </c>
      <c r="H74" s="25"/>
      <c r="AL74" s="29">
        <f t="shared" si="7"/>
        <v>5</v>
      </c>
      <c r="AM74" s="29"/>
      <c r="AN74" s="29" t="str">
        <f>IF(ISNA(VLOOKUP(AM74,Settings!G:H,2,FALSE)),"",VLOOKUP(AM74,Settings!G:H,2,FALSE))</f>
        <v/>
      </c>
      <c r="AO74" s="30" t="str">
        <f t="shared" si="10"/>
        <v xml:space="preserve">O           </v>
      </c>
      <c r="AP74" s="29" t="s">
        <v>9</v>
      </c>
    </row>
    <row r="75" spans="2:42">
      <c r="B75" s="24">
        <v>61</v>
      </c>
      <c r="C75" s="24" t="str">
        <f t="shared" si="0"/>
        <v/>
      </c>
      <c r="D75" s="24" t="str">
        <f>IF(ISERROR(VLOOKUP(C75,Settings!A:B,2,FALSE)),C75,VLOOKUP(C75,Settings!A:B,2,FALSE))</f>
        <v/>
      </c>
      <c r="E75" s="30" t="str">
        <f t="shared" si="8"/>
        <v>H</v>
      </c>
      <c r="F75" s="24" t="str">
        <f t="shared" si="9"/>
        <v/>
      </c>
      <c r="G75" s="24" t="str">
        <f>IF(ISNA(VLOOKUP(F75,Settings!G:H,2,FALSE)),"",VLOOKUP(F75,Settings!G:H,2,FALSE))</f>
        <v/>
      </c>
      <c r="H75" s="25"/>
      <c r="AL75" s="29">
        <f t="shared" si="7"/>
        <v>1</v>
      </c>
      <c r="AM75" s="29"/>
      <c r="AN75" s="29" t="str">
        <f>IF(ISNA(VLOOKUP(AM75,Settings!G:H,2,FALSE)),"",VLOOKUP(AM75,Settings!G:H,2,FALSE))</f>
        <v/>
      </c>
      <c r="AO75" s="30" t="str">
        <f t="shared" si="10"/>
        <v xml:space="preserve">O            </v>
      </c>
      <c r="AP75" s="29" t="s">
        <v>9</v>
      </c>
    </row>
    <row r="76" spans="2:42">
      <c r="B76" s="24">
        <v>62</v>
      </c>
      <c r="C76" s="24" t="str">
        <f t="shared" si="0"/>
        <v/>
      </c>
      <c r="D76" s="24" t="str">
        <f>IF(ISERROR(VLOOKUP(C76,Settings!A:B,2,FALSE)),C76,VLOOKUP(C76,Settings!A:B,2,FALSE))</f>
        <v/>
      </c>
      <c r="E76" s="30" t="str">
        <f t="shared" si="8"/>
        <v>H</v>
      </c>
      <c r="F76" s="24" t="str">
        <f t="shared" si="9"/>
        <v/>
      </c>
      <c r="G76" s="24" t="str">
        <f>IF(ISNA(VLOOKUP(F76,Settings!G:H,2,FALSE)),"",VLOOKUP(F76,Settings!G:H,2,FALSE))</f>
        <v/>
      </c>
      <c r="H76" s="25"/>
      <c r="AL76" s="29">
        <f t="shared" si="7"/>
        <v>2</v>
      </c>
      <c r="AM76" s="29"/>
      <c r="AN76" s="29" t="str">
        <f>IF(ISNA(VLOOKUP(AM76,Settings!G:H,2,FALSE)),"",VLOOKUP(AM76,Settings!G:H,2,FALSE))</f>
        <v/>
      </c>
      <c r="AO76" s="30" t="str">
        <f t="shared" si="10"/>
        <v xml:space="preserve">O            </v>
      </c>
      <c r="AP76" s="29" t="s">
        <v>9</v>
      </c>
    </row>
    <row r="77" spans="2:42">
      <c r="B77" s="24">
        <v>63</v>
      </c>
      <c r="C77" s="24" t="str">
        <f t="shared" si="0"/>
        <v/>
      </c>
      <c r="D77" s="24" t="str">
        <f>IF(ISERROR(VLOOKUP(C77,Settings!A:B,2,FALSE)),C77,VLOOKUP(C77,Settings!A:B,2,FALSE))</f>
        <v/>
      </c>
      <c r="E77" s="30" t="str">
        <f t="shared" si="8"/>
        <v>H</v>
      </c>
      <c r="F77" s="24" t="str">
        <f t="shared" si="9"/>
        <v/>
      </c>
      <c r="G77" s="24" t="str">
        <f>IF(ISNA(VLOOKUP(F77,Settings!G:H,2,FALSE)),"",VLOOKUP(F77,Settings!G:H,2,FALSE))</f>
        <v/>
      </c>
      <c r="H77" s="25"/>
      <c r="AL77" s="29">
        <f t="shared" si="7"/>
        <v>3</v>
      </c>
      <c r="AM77" s="29"/>
      <c r="AN77" s="29" t="str">
        <f>IF(ISNA(VLOOKUP(AM77,Settings!G:H,2,FALSE)),"",VLOOKUP(AM77,Settings!G:H,2,FALSE))</f>
        <v/>
      </c>
      <c r="AO77" s="30" t="str">
        <f t="shared" si="10"/>
        <v xml:space="preserve">O            </v>
      </c>
      <c r="AP77" s="29" t="s">
        <v>9</v>
      </c>
    </row>
    <row r="78" spans="2:42">
      <c r="B78" s="24">
        <v>64</v>
      </c>
      <c r="C78" s="24" t="str">
        <f t="shared" si="0"/>
        <v/>
      </c>
      <c r="D78" s="24" t="str">
        <f>IF(ISERROR(VLOOKUP(C78,Settings!A:B,2,FALSE)),C78,VLOOKUP(C78,Settings!A:B,2,FALSE))</f>
        <v/>
      </c>
      <c r="E78" s="30" t="str">
        <f t="shared" si="8"/>
        <v>H</v>
      </c>
      <c r="F78" s="24" t="str">
        <f t="shared" si="9"/>
        <v/>
      </c>
      <c r="G78" s="24" t="str">
        <f>IF(ISNA(VLOOKUP(F78,Settings!G:H,2,FALSE)),"",VLOOKUP(F78,Settings!G:H,2,FALSE))</f>
        <v/>
      </c>
      <c r="H78" s="25"/>
      <c r="AL78" s="29">
        <f t="shared" si="7"/>
        <v>4</v>
      </c>
      <c r="AM78" s="29"/>
      <c r="AN78" s="29" t="str">
        <f>IF(ISNA(VLOOKUP(AM78,Settings!G:H,2,FALSE)),"",VLOOKUP(AM78,Settings!G:H,2,FALSE))</f>
        <v/>
      </c>
      <c r="AO78" s="30" t="str">
        <f t="shared" si="10"/>
        <v xml:space="preserve">O            </v>
      </c>
      <c r="AP78" s="29" t="s">
        <v>9</v>
      </c>
    </row>
    <row r="79" spans="2:42">
      <c r="B79" s="24">
        <v>65</v>
      </c>
      <c r="C79" s="24" t="str">
        <f t="shared" si="0"/>
        <v/>
      </c>
      <c r="D79" s="24" t="str">
        <f>IF(ISERROR(VLOOKUP(C79,Settings!A:B,2,FALSE)),C79,VLOOKUP(C79,Settings!A:B,2,FALSE))</f>
        <v/>
      </c>
      <c r="E79" s="30" t="str">
        <f t="shared" si="8"/>
        <v>H</v>
      </c>
      <c r="F79" s="24" t="str">
        <f t="shared" si="9"/>
        <v/>
      </c>
      <c r="G79" s="24" t="str">
        <f>IF(ISNA(VLOOKUP(F79,Settings!G:H,2,FALSE)),"",VLOOKUP(F79,Settings!G:H,2,FALSE))</f>
        <v/>
      </c>
      <c r="H79" s="25"/>
      <c r="AL79" s="29">
        <f t="shared" si="7"/>
        <v>5</v>
      </c>
      <c r="AM79" s="29"/>
      <c r="AN79" s="29" t="str">
        <f>IF(ISNA(VLOOKUP(AM79,Settings!G:H,2,FALSE)),"",VLOOKUP(AM79,Settings!G:H,2,FALSE))</f>
        <v/>
      </c>
      <c r="AO79" s="30" t="str">
        <f t="shared" si="10"/>
        <v xml:space="preserve">O            </v>
      </c>
      <c r="AP79" s="29" t="s">
        <v>9</v>
      </c>
    </row>
    <row r="80" spans="2:42">
      <c r="B80" s="24">
        <v>66</v>
      </c>
      <c r="C80" s="24" t="str">
        <f t="shared" ref="C80:C143" si="11">MID(Inputtext,B80,1)</f>
        <v/>
      </c>
      <c r="D80" s="24" t="str">
        <f>IF(ISERROR(VLOOKUP(C80,Settings!A:B,2,FALSE)),C80,VLOOKUP(C80,Settings!A:B,2,FALSE))</f>
        <v/>
      </c>
      <c r="E80" s="30" t="str">
        <f t="shared" si="8"/>
        <v>H</v>
      </c>
      <c r="F80" s="24" t="str">
        <f t="shared" si="9"/>
        <v/>
      </c>
      <c r="G80" s="24" t="str">
        <f>IF(ISNA(VLOOKUP(F80,Settings!G:H,2,FALSE)),"",VLOOKUP(F80,Settings!G:H,2,FALSE))</f>
        <v/>
      </c>
      <c r="H80" s="25"/>
      <c r="AL80" s="29">
        <f t="shared" ref="AL80:AL143" si="12">IF(AL79=5,1,AL79+1)</f>
        <v>1</v>
      </c>
      <c r="AM80" s="29"/>
      <c r="AN80" s="29" t="str">
        <f>IF(ISNA(VLOOKUP(AM80,Settings!G:H,2,FALSE)),"",VLOOKUP(AM80,Settings!G:H,2,FALSE))</f>
        <v/>
      </c>
      <c r="AO80" s="30" t="str">
        <f t="shared" si="10"/>
        <v xml:space="preserve">O             </v>
      </c>
      <c r="AP80" s="29" t="s">
        <v>9</v>
      </c>
    </row>
    <row r="81" spans="2:42">
      <c r="B81" s="24">
        <v>67</v>
      </c>
      <c r="C81" s="24" t="str">
        <f t="shared" si="11"/>
        <v/>
      </c>
      <c r="D81" s="24" t="str">
        <f>IF(ISERROR(VLOOKUP(C81,Settings!A:B,2,FALSE)),C81,VLOOKUP(C81,Settings!A:B,2,FALSE))</f>
        <v/>
      </c>
      <c r="E81" s="30" t="str">
        <f t="shared" ref="E81:E144" si="13">E80&amp;UPPER(D81)</f>
        <v>H</v>
      </c>
      <c r="F81" s="24" t="str">
        <f t="shared" ref="F81:F144" si="14">MID($E$514,B81,1)</f>
        <v/>
      </c>
      <c r="G81" s="24" t="str">
        <f>IF(ISNA(VLOOKUP(F81,Settings!G:H,2,FALSE)),"",VLOOKUP(F81,Settings!G:H,2,FALSE))</f>
        <v/>
      </c>
      <c r="H81" s="25"/>
      <c r="AL81" s="29">
        <f t="shared" si="12"/>
        <v>2</v>
      </c>
      <c r="AM81" s="29"/>
      <c r="AN81" s="29" t="str">
        <f>IF(ISNA(VLOOKUP(AM81,Settings!G:H,2,FALSE)),"",VLOOKUP(AM81,Settings!G:H,2,FALSE))</f>
        <v/>
      </c>
      <c r="AO81" s="30" t="str">
        <f t="shared" ref="AO81:AO144" si="15">IF(AL81=1,AO80&amp;" "&amp;AN81,AO80&amp;AN81)</f>
        <v xml:space="preserve">O             </v>
      </c>
      <c r="AP81" s="29" t="s">
        <v>9</v>
      </c>
    </row>
    <row r="82" spans="2:42">
      <c r="B82" s="24">
        <v>68</v>
      </c>
      <c r="C82" s="24" t="str">
        <f t="shared" si="11"/>
        <v/>
      </c>
      <c r="D82" s="24" t="str">
        <f>IF(ISERROR(VLOOKUP(C82,Settings!A:B,2,FALSE)),C82,VLOOKUP(C82,Settings!A:B,2,FALSE))</f>
        <v/>
      </c>
      <c r="E82" s="30" t="str">
        <f t="shared" si="13"/>
        <v>H</v>
      </c>
      <c r="F82" s="24" t="str">
        <f t="shared" si="14"/>
        <v/>
      </c>
      <c r="G82" s="24" t="str">
        <f>IF(ISNA(VLOOKUP(F82,Settings!G:H,2,FALSE)),"",VLOOKUP(F82,Settings!G:H,2,FALSE))</f>
        <v/>
      </c>
      <c r="H82" s="25"/>
      <c r="AL82" s="29">
        <f t="shared" si="12"/>
        <v>3</v>
      </c>
      <c r="AM82" s="29"/>
      <c r="AN82" s="29" t="str">
        <f>IF(ISNA(VLOOKUP(AM82,Settings!G:H,2,FALSE)),"",VLOOKUP(AM82,Settings!G:H,2,FALSE))</f>
        <v/>
      </c>
      <c r="AO82" s="30" t="str">
        <f t="shared" si="15"/>
        <v xml:space="preserve">O             </v>
      </c>
      <c r="AP82" s="29" t="s">
        <v>9</v>
      </c>
    </row>
    <row r="83" spans="2:42">
      <c r="B83" s="24">
        <v>69</v>
      </c>
      <c r="C83" s="24" t="str">
        <f t="shared" si="11"/>
        <v/>
      </c>
      <c r="D83" s="24" t="str">
        <f>IF(ISERROR(VLOOKUP(C83,Settings!A:B,2,FALSE)),C83,VLOOKUP(C83,Settings!A:B,2,FALSE))</f>
        <v/>
      </c>
      <c r="E83" s="30" t="str">
        <f t="shared" si="13"/>
        <v>H</v>
      </c>
      <c r="F83" s="24" t="str">
        <f t="shared" si="14"/>
        <v/>
      </c>
      <c r="G83" s="24" t="str">
        <f>IF(ISNA(VLOOKUP(F83,Settings!G:H,2,FALSE)),"",VLOOKUP(F83,Settings!G:H,2,FALSE))</f>
        <v/>
      </c>
      <c r="H83" s="25"/>
      <c r="AL83" s="29">
        <f t="shared" si="12"/>
        <v>4</v>
      </c>
      <c r="AM83" s="29"/>
      <c r="AN83" s="29" t="str">
        <f>IF(ISNA(VLOOKUP(AM83,Settings!G:H,2,FALSE)),"",VLOOKUP(AM83,Settings!G:H,2,FALSE))</f>
        <v/>
      </c>
      <c r="AO83" s="30" t="str">
        <f t="shared" si="15"/>
        <v xml:space="preserve">O             </v>
      </c>
      <c r="AP83" s="29" t="s">
        <v>9</v>
      </c>
    </row>
    <row r="84" spans="2:42">
      <c r="B84" s="24">
        <v>70</v>
      </c>
      <c r="C84" s="24" t="str">
        <f t="shared" si="11"/>
        <v/>
      </c>
      <c r="D84" s="24" t="str">
        <f>IF(ISERROR(VLOOKUP(C84,Settings!A:B,2,FALSE)),C84,VLOOKUP(C84,Settings!A:B,2,FALSE))</f>
        <v/>
      </c>
      <c r="E84" s="30" t="str">
        <f t="shared" si="13"/>
        <v>H</v>
      </c>
      <c r="F84" s="24" t="str">
        <f t="shared" si="14"/>
        <v/>
      </c>
      <c r="G84" s="24" t="str">
        <f>IF(ISNA(VLOOKUP(F84,Settings!G:H,2,FALSE)),"",VLOOKUP(F84,Settings!G:H,2,FALSE))</f>
        <v/>
      </c>
      <c r="H84" s="25"/>
      <c r="AL84" s="29">
        <f t="shared" si="12"/>
        <v>5</v>
      </c>
      <c r="AM84" s="29"/>
      <c r="AN84" s="29" t="str">
        <f>IF(ISNA(VLOOKUP(AM84,Settings!G:H,2,FALSE)),"",VLOOKUP(AM84,Settings!G:H,2,FALSE))</f>
        <v/>
      </c>
      <c r="AO84" s="30" t="str">
        <f t="shared" si="15"/>
        <v xml:space="preserve">O             </v>
      </c>
      <c r="AP84" s="29" t="s">
        <v>9</v>
      </c>
    </row>
    <row r="85" spans="2:42">
      <c r="B85" s="24">
        <v>71</v>
      </c>
      <c r="C85" s="24" t="str">
        <f t="shared" si="11"/>
        <v/>
      </c>
      <c r="D85" s="24" t="str">
        <f>IF(ISERROR(VLOOKUP(C85,Settings!A:B,2,FALSE)),C85,VLOOKUP(C85,Settings!A:B,2,FALSE))</f>
        <v/>
      </c>
      <c r="E85" s="30" t="str">
        <f t="shared" si="13"/>
        <v>H</v>
      </c>
      <c r="F85" s="24" t="str">
        <f t="shared" si="14"/>
        <v/>
      </c>
      <c r="G85" s="24" t="str">
        <f>IF(ISNA(VLOOKUP(F85,Settings!G:H,2,FALSE)),"",VLOOKUP(F85,Settings!G:H,2,FALSE))</f>
        <v/>
      </c>
      <c r="H85" s="25"/>
      <c r="AL85" s="29">
        <f t="shared" si="12"/>
        <v>1</v>
      </c>
      <c r="AM85" s="29"/>
      <c r="AN85" s="29" t="str">
        <f>IF(ISNA(VLOOKUP(AM85,Settings!G:H,2,FALSE)),"",VLOOKUP(AM85,Settings!G:H,2,FALSE))</f>
        <v/>
      </c>
      <c r="AO85" s="30" t="str">
        <f t="shared" si="15"/>
        <v xml:space="preserve">O              </v>
      </c>
      <c r="AP85" s="29" t="s">
        <v>9</v>
      </c>
    </row>
    <row r="86" spans="2:42">
      <c r="B86" s="24">
        <v>72</v>
      </c>
      <c r="C86" s="24" t="str">
        <f t="shared" si="11"/>
        <v/>
      </c>
      <c r="D86" s="24" t="str">
        <f>IF(ISERROR(VLOOKUP(C86,Settings!A:B,2,FALSE)),C86,VLOOKUP(C86,Settings!A:B,2,FALSE))</f>
        <v/>
      </c>
      <c r="E86" s="30" t="str">
        <f t="shared" si="13"/>
        <v>H</v>
      </c>
      <c r="F86" s="24" t="str">
        <f t="shared" si="14"/>
        <v/>
      </c>
      <c r="G86" s="24" t="str">
        <f>IF(ISNA(VLOOKUP(F86,Settings!G:H,2,FALSE)),"",VLOOKUP(F86,Settings!G:H,2,FALSE))</f>
        <v/>
      </c>
      <c r="H86" s="25"/>
      <c r="AL86" s="29">
        <f t="shared" si="12"/>
        <v>2</v>
      </c>
      <c r="AM86" s="29"/>
      <c r="AN86" s="29" t="str">
        <f>IF(ISNA(VLOOKUP(AM86,Settings!G:H,2,FALSE)),"",VLOOKUP(AM86,Settings!G:H,2,FALSE))</f>
        <v/>
      </c>
      <c r="AO86" s="30" t="str">
        <f t="shared" si="15"/>
        <v xml:space="preserve">O              </v>
      </c>
      <c r="AP86" s="29" t="s">
        <v>9</v>
      </c>
    </row>
    <row r="87" spans="2:42">
      <c r="B87" s="24">
        <v>73</v>
      </c>
      <c r="C87" s="24" t="str">
        <f t="shared" si="11"/>
        <v/>
      </c>
      <c r="D87" s="24" t="str">
        <f>IF(ISERROR(VLOOKUP(C87,Settings!A:B,2,FALSE)),C87,VLOOKUP(C87,Settings!A:B,2,FALSE))</f>
        <v/>
      </c>
      <c r="E87" s="30" t="str">
        <f t="shared" si="13"/>
        <v>H</v>
      </c>
      <c r="F87" s="24" t="str">
        <f t="shared" si="14"/>
        <v/>
      </c>
      <c r="G87" s="24" t="str">
        <f>IF(ISNA(VLOOKUP(F87,Settings!G:H,2,FALSE)),"",VLOOKUP(F87,Settings!G:H,2,FALSE))</f>
        <v/>
      </c>
      <c r="H87" s="25"/>
      <c r="AL87" s="29">
        <f t="shared" si="12"/>
        <v>3</v>
      </c>
      <c r="AM87" s="29"/>
      <c r="AN87" s="29" t="str">
        <f>IF(ISNA(VLOOKUP(AM87,Settings!G:H,2,FALSE)),"",VLOOKUP(AM87,Settings!G:H,2,FALSE))</f>
        <v/>
      </c>
      <c r="AO87" s="30" t="str">
        <f t="shared" si="15"/>
        <v xml:space="preserve">O              </v>
      </c>
      <c r="AP87" s="29" t="s">
        <v>9</v>
      </c>
    </row>
    <row r="88" spans="2:42">
      <c r="B88" s="24">
        <v>74</v>
      </c>
      <c r="C88" s="24" t="str">
        <f t="shared" si="11"/>
        <v/>
      </c>
      <c r="D88" s="24" t="str">
        <f>IF(ISERROR(VLOOKUP(C88,Settings!A:B,2,FALSE)),C88,VLOOKUP(C88,Settings!A:B,2,FALSE))</f>
        <v/>
      </c>
      <c r="E88" s="30" t="str">
        <f t="shared" si="13"/>
        <v>H</v>
      </c>
      <c r="F88" s="24" t="str">
        <f t="shared" si="14"/>
        <v/>
      </c>
      <c r="G88" s="24" t="str">
        <f>IF(ISNA(VLOOKUP(F88,Settings!G:H,2,FALSE)),"",VLOOKUP(F88,Settings!G:H,2,FALSE))</f>
        <v/>
      </c>
      <c r="H88" s="25"/>
      <c r="AL88" s="29">
        <f t="shared" si="12"/>
        <v>4</v>
      </c>
      <c r="AM88" s="29"/>
      <c r="AN88" s="29" t="str">
        <f>IF(ISNA(VLOOKUP(AM88,Settings!G:H,2,FALSE)),"",VLOOKUP(AM88,Settings!G:H,2,FALSE))</f>
        <v/>
      </c>
      <c r="AO88" s="30" t="str">
        <f t="shared" si="15"/>
        <v xml:space="preserve">O              </v>
      </c>
      <c r="AP88" s="29" t="s">
        <v>9</v>
      </c>
    </row>
    <row r="89" spans="2:42">
      <c r="B89" s="24">
        <v>75</v>
      </c>
      <c r="C89" s="24" t="str">
        <f t="shared" si="11"/>
        <v/>
      </c>
      <c r="D89" s="24" t="str">
        <f>IF(ISERROR(VLOOKUP(C89,Settings!A:B,2,FALSE)),C89,VLOOKUP(C89,Settings!A:B,2,FALSE))</f>
        <v/>
      </c>
      <c r="E89" s="30" t="str">
        <f t="shared" si="13"/>
        <v>H</v>
      </c>
      <c r="F89" s="24" t="str">
        <f t="shared" si="14"/>
        <v/>
      </c>
      <c r="G89" s="24" t="str">
        <f>IF(ISNA(VLOOKUP(F89,Settings!G:H,2,FALSE)),"",VLOOKUP(F89,Settings!G:H,2,FALSE))</f>
        <v/>
      </c>
      <c r="H89" s="25"/>
      <c r="AL89" s="29">
        <f t="shared" si="12"/>
        <v>5</v>
      </c>
      <c r="AM89" s="29"/>
      <c r="AN89" s="29" t="str">
        <f>IF(ISNA(VLOOKUP(AM89,Settings!G:H,2,FALSE)),"",VLOOKUP(AM89,Settings!G:H,2,FALSE))</f>
        <v/>
      </c>
      <c r="AO89" s="30" t="str">
        <f t="shared" si="15"/>
        <v xml:space="preserve">O              </v>
      </c>
      <c r="AP89" s="29" t="s">
        <v>9</v>
      </c>
    </row>
    <row r="90" spans="2:42">
      <c r="B90" s="24">
        <v>76</v>
      </c>
      <c r="C90" s="24" t="str">
        <f t="shared" si="11"/>
        <v/>
      </c>
      <c r="D90" s="24" t="str">
        <f>IF(ISERROR(VLOOKUP(C90,Settings!A:B,2,FALSE)),C90,VLOOKUP(C90,Settings!A:B,2,FALSE))</f>
        <v/>
      </c>
      <c r="E90" s="30" t="str">
        <f t="shared" si="13"/>
        <v>H</v>
      </c>
      <c r="F90" s="24" t="str">
        <f t="shared" si="14"/>
        <v/>
      </c>
      <c r="G90" s="24" t="str">
        <f>IF(ISNA(VLOOKUP(F90,Settings!G:H,2,FALSE)),"",VLOOKUP(F90,Settings!G:H,2,FALSE))</f>
        <v/>
      </c>
      <c r="H90" s="25"/>
      <c r="AL90" s="29">
        <f t="shared" si="12"/>
        <v>1</v>
      </c>
      <c r="AM90" s="29"/>
      <c r="AN90" s="29" t="str">
        <f>IF(ISNA(VLOOKUP(AM90,Settings!G:H,2,FALSE)),"",VLOOKUP(AM90,Settings!G:H,2,FALSE))</f>
        <v/>
      </c>
      <c r="AO90" s="30" t="str">
        <f t="shared" si="15"/>
        <v xml:space="preserve">O               </v>
      </c>
      <c r="AP90" s="29" t="s">
        <v>9</v>
      </c>
    </row>
    <row r="91" spans="2:42">
      <c r="B91" s="24">
        <v>77</v>
      </c>
      <c r="C91" s="24" t="str">
        <f t="shared" si="11"/>
        <v/>
      </c>
      <c r="D91" s="24" t="str">
        <f>IF(ISERROR(VLOOKUP(C91,Settings!A:B,2,FALSE)),C91,VLOOKUP(C91,Settings!A:B,2,FALSE))</f>
        <v/>
      </c>
      <c r="E91" s="30" t="str">
        <f t="shared" si="13"/>
        <v>H</v>
      </c>
      <c r="F91" s="24" t="str">
        <f t="shared" si="14"/>
        <v/>
      </c>
      <c r="G91" s="24" t="str">
        <f>IF(ISNA(VLOOKUP(F91,Settings!G:H,2,FALSE)),"",VLOOKUP(F91,Settings!G:H,2,FALSE))</f>
        <v/>
      </c>
      <c r="H91" s="25"/>
      <c r="AL91" s="29">
        <f t="shared" si="12"/>
        <v>2</v>
      </c>
      <c r="AM91" s="29"/>
      <c r="AN91" s="29" t="str">
        <f>IF(ISNA(VLOOKUP(AM91,Settings!G:H,2,FALSE)),"",VLOOKUP(AM91,Settings!G:H,2,FALSE))</f>
        <v/>
      </c>
      <c r="AO91" s="30" t="str">
        <f t="shared" si="15"/>
        <v xml:space="preserve">O               </v>
      </c>
      <c r="AP91" s="29" t="s">
        <v>9</v>
      </c>
    </row>
    <row r="92" spans="2:42">
      <c r="B92" s="24">
        <v>78</v>
      </c>
      <c r="C92" s="24" t="str">
        <f t="shared" si="11"/>
        <v/>
      </c>
      <c r="D92" s="24" t="str">
        <f>IF(ISERROR(VLOOKUP(C92,Settings!A:B,2,FALSE)),C92,VLOOKUP(C92,Settings!A:B,2,FALSE))</f>
        <v/>
      </c>
      <c r="E92" s="30" t="str">
        <f t="shared" si="13"/>
        <v>H</v>
      </c>
      <c r="F92" s="24" t="str">
        <f t="shared" si="14"/>
        <v/>
      </c>
      <c r="G92" s="24" t="str">
        <f>IF(ISNA(VLOOKUP(F92,Settings!G:H,2,FALSE)),"",VLOOKUP(F92,Settings!G:H,2,FALSE))</f>
        <v/>
      </c>
      <c r="H92" s="25"/>
      <c r="AL92" s="29">
        <f t="shared" si="12"/>
        <v>3</v>
      </c>
      <c r="AM92" s="29"/>
      <c r="AN92" s="29" t="str">
        <f>IF(ISNA(VLOOKUP(AM92,Settings!G:H,2,FALSE)),"",VLOOKUP(AM92,Settings!G:H,2,FALSE))</f>
        <v/>
      </c>
      <c r="AO92" s="30" t="str">
        <f t="shared" si="15"/>
        <v xml:space="preserve">O               </v>
      </c>
      <c r="AP92" s="29" t="s">
        <v>9</v>
      </c>
    </row>
    <row r="93" spans="2:42">
      <c r="B93" s="24">
        <v>79</v>
      </c>
      <c r="C93" s="24" t="str">
        <f t="shared" si="11"/>
        <v/>
      </c>
      <c r="D93" s="24" t="str">
        <f>IF(ISERROR(VLOOKUP(C93,Settings!A:B,2,FALSE)),C93,VLOOKUP(C93,Settings!A:B,2,FALSE))</f>
        <v/>
      </c>
      <c r="E93" s="30" t="str">
        <f t="shared" si="13"/>
        <v>H</v>
      </c>
      <c r="F93" s="24" t="str">
        <f t="shared" si="14"/>
        <v/>
      </c>
      <c r="G93" s="24" t="str">
        <f>IF(ISNA(VLOOKUP(F93,Settings!G:H,2,FALSE)),"",VLOOKUP(F93,Settings!G:H,2,FALSE))</f>
        <v/>
      </c>
      <c r="H93" s="25"/>
      <c r="AL93" s="29">
        <f t="shared" si="12"/>
        <v>4</v>
      </c>
      <c r="AM93" s="29"/>
      <c r="AN93" s="29" t="str">
        <f>IF(ISNA(VLOOKUP(AM93,Settings!G:H,2,FALSE)),"",VLOOKUP(AM93,Settings!G:H,2,FALSE))</f>
        <v/>
      </c>
      <c r="AO93" s="30" t="str">
        <f t="shared" si="15"/>
        <v xml:space="preserve">O               </v>
      </c>
      <c r="AP93" s="29" t="s">
        <v>9</v>
      </c>
    </row>
    <row r="94" spans="2:42">
      <c r="B94" s="24">
        <v>80</v>
      </c>
      <c r="C94" s="24" t="str">
        <f t="shared" si="11"/>
        <v/>
      </c>
      <c r="D94" s="24" t="str">
        <f>IF(ISERROR(VLOOKUP(C94,Settings!A:B,2,FALSE)),C94,VLOOKUP(C94,Settings!A:B,2,FALSE))</f>
        <v/>
      </c>
      <c r="E94" s="30" t="str">
        <f t="shared" si="13"/>
        <v>H</v>
      </c>
      <c r="F94" s="24" t="str">
        <f t="shared" si="14"/>
        <v/>
      </c>
      <c r="G94" s="24" t="str">
        <f>IF(ISNA(VLOOKUP(F94,Settings!G:H,2,FALSE)),"",VLOOKUP(F94,Settings!G:H,2,FALSE))</f>
        <v/>
      </c>
      <c r="H94" s="25"/>
      <c r="AL94" s="29">
        <f t="shared" si="12"/>
        <v>5</v>
      </c>
      <c r="AM94" s="29"/>
      <c r="AN94" s="29" t="str">
        <f>IF(ISNA(VLOOKUP(AM94,Settings!G:H,2,FALSE)),"",VLOOKUP(AM94,Settings!G:H,2,FALSE))</f>
        <v/>
      </c>
      <c r="AO94" s="30" t="str">
        <f t="shared" si="15"/>
        <v xml:space="preserve">O               </v>
      </c>
      <c r="AP94" s="29" t="s">
        <v>9</v>
      </c>
    </row>
    <row r="95" spans="2:42">
      <c r="B95" s="24">
        <v>81</v>
      </c>
      <c r="C95" s="24" t="str">
        <f t="shared" si="11"/>
        <v/>
      </c>
      <c r="D95" s="24" t="str">
        <f>IF(ISERROR(VLOOKUP(C95,Settings!A:B,2,FALSE)),C95,VLOOKUP(C95,Settings!A:B,2,FALSE))</f>
        <v/>
      </c>
      <c r="E95" s="30" t="str">
        <f t="shared" si="13"/>
        <v>H</v>
      </c>
      <c r="F95" s="24" t="str">
        <f t="shared" si="14"/>
        <v/>
      </c>
      <c r="G95" s="24" t="str">
        <f>IF(ISNA(VLOOKUP(F95,Settings!G:H,2,FALSE)),"",VLOOKUP(F95,Settings!G:H,2,FALSE))</f>
        <v/>
      </c>
      <c r="H95" s="25"/>
      <c r="AL95" s="29">
        <f t="shared" si="12"/>
        <v>1</v>
      </c>
      <c r="AM95" s="29"/>
      <c r="AN95" s="29" t="str">
        <f>IF(ISNA(VLOOKUP(AM95,Settings!G:H,2,FALSE)),"",VLOOKUP(AM95,Settings!G:H,2,FALSE))</f>
        <v/>
      </c>
      <c r="AO95" s="30" t="str">
        <f t="shared" si="15"/>
        <v xml:space="preserve">O                </v>
      </c>
      <c r="AP95" s="29" t="s">
        <v>9</v>
      </c>
    </row>
    <row r="96" spans="2:42">
      <c r="B96" s="24">
        <v>82</v>
      </c>
      <c r="C96" s="24" t="str">
        <f t="shared" si="11"/>
        <v/>
      </c>
      <c r="D96" s="24" t="str">
        <f>IF(ISERROR(VLOOKUP(C96,Settings!A:B,2,FALSE)),C96,VLOOKUP(C96,Settings!A:B,2,FALSE))</f>
        <v/>
      </c>
      <c r="E96" s="30" t="str">
        <f t="shared" si="13"/>
        <v>H</v>
      </c>
      <c r="F96" s="24" t="str">
        <f t="shared" si="14"/>
        <v/>
      </c>
      <c r="G96" s="24" t="str">
        <f>IF(ISNA(VLOOKUP(F96,Settings!G:H,2,FALSE)),"",VLOOKUP(F96,Settings!G:H,2,FALSE))</f>
        <v/>
      </c>
      <c r="H96" s="25"/>
      <c r="AL96" s="29">
        <f t="shared" si="12"/>
        <v>2</v>
      </c>
      <c r="AM96" s="29"/>
      <c r="AN96" s="29" t="str">
        <f>IF(ISNA(VLOOKUP(AM96,Settings!G:H,2,FALSE)),"",VLOOKUP(AM96,Settings!G:H,2,FALSE))</f>
        <v/>
      </c>
      <c r="AO96" s="30" t="str">
        <f t="shared" si="15"/>
        <v xml:space="preserve">O                </v>
      </c>
      <c r="AP96" s="29" t="s">
        <v>9</v>
      </c>
    </row>
    <row r="97" spans="2:42">
      <c r="B97" s="24">
        <v>83</v>
      </c>
      <c r="C97" s="24" t="str">
        <f t="shared" si="11"/>
        <v/>
      </c>
      <c r="D97" s="24" t="str">
        <f>IF(ISERROR(VLOOKUP(C97,Settings!A:B,2,FALSE)),C97,VLOOKUP(C97,Settings!A:B,2,FALSE))</f>
        <v/>
      </c>
      <c r="E97" s="30" t="str">
        <f t="shared" si="13"/>
        <v>H</v>
      </c>
      <c r="F97" s="24" t="str">
        <f t="shared" si="14"/>
        <v/>
      </c>
      <c r="G97" s="24" t="str">
        <f>IF(ISNA(VLOOKUP(F97,Settings!G:H,2,FALSE)),"",VLOOKUP(F97,Settings!G:H,2,FALSE))</f>
        <v/>
      </c>
      <c r="H97" s="25"/>
      <c r="AL97" s="29">
        <f t="shared" si="12"/>
        <v>3</v>
      </c>
      <c r="AM97" s="29"/>
      <c r="AN97" s="29" t="str">
        <f>IF(ISNA(VLOOKUP(AM97,Settings!G:H,2,FALSE)),"",VLOOKUP(AM97,Settings!G:H,2,FALSE))</f>
        <v/>
      </c>
      <c r="AO97" s="30" t="str">
        <f t="shared" si="15"/>
        <v xml:space="preserve">O                </v>
      </c>
      <c r="AP97" s="29" t="s">
        <v>9</v>
      </c>
    </row>
    <row r="98" spans="2:42">
      <c r="B98" s="24">
        <v>84</v>
      </c>
      <c r="C98" s="24" t="str">
        <f t="shared" si="11"/>
        <v/>
      </c>
      <c r="D98" s="24" t="str">
        <f>IF(ISERROR(VLOOKUP(C98,Settings!A:B,2,FALSE)),C98,VLOOKUP(C98,Settings!A:B,2,FALSE))</f>
        <v/>
      </c>
      <c r="E98" s="30" t="str">
        <f t="shared" si="13"/>
        <v>H</v>
      </c>
      <c r="F98" s="24" t="str">
        <f t="shared" si="14"/>
        <v/>
      </c>
      <c r="G98" s="24" t="str">
        <f>IF(ISNA(VLOOKUP(F98,Settings!G:H,2,FALSE)),"",VLOOKUP(F98,Settings!G:H,2,FALSE))</f>
        <v/>
      </c>
      <c r="H98" s="25"/>
      <c r="AL98" s="29">
        <f t="shared" si="12"/>
        <v>4</v>
      </c>
      <c r="AM98" s="29"/>
      <c r="AN98" s="29" t="str">
        <f>IF(ISNA(VLOOKUP(AM98,Settings!G:H,2,FALSE)),"",VLOOKUP(AM98,Settings!G:H,2,FALSE))</f>
        <v/>
      </c>
      <c r="AO98" s="30" t="str">
        <f t="shared" si="15"/>
        <v xml:space="preserve">O                </v>
      </c>
      <c r="AP98" s="29" t="s">
        <v>9</v>
      </c>
    </row>
    <row r="99" spans="2:42">
      <c r="B99" s="24">
        <v>85</v>
      </c>
      <c r="C99" s="24" t="str">
        <f t="shared" si="11"/>
        <v/>
      </c>
      <c r="D99" s="24" t="str">
        <f>IF(ISERROR(VLOOKUP(C99,Settings!A:B,2,FALSE)),C99,VLOOKUP(C99,Settings!A:B,2,FALSE))</f>
        <v/>
      </c>
      <c r="E99" s="30" t="str">
        <f t="shared" si="13"/>
        <v>H</v>
      </c>
      <c r="F99" s="24" t="str">
        <f t="shared" si="14"/>
        <v/>
      </c>
      <c r="G99" s="24" t="str">
        <f>IF(ISNA(VLOOKUP(F99,Settings!G:H,2,FALSE)),"",VLOOKUP(F99,Settings!G:H,2,FALSE))</f>
        <v/>
      </c>
      <c r="H99" s="25"/>
      <c r="AL99" s="29">
        <f t="shared" si="12"/>
        <v>5</v>
      </c>
      <c r="AM99" s="29"/>
      <c r="AN99" s="29" t="str">
        <f>IF(ISNA(VLOOKUP(AM99,Settings!G:H,2,FALSE)),"",VLOOKUP(AM99,Settings!G:H,2,FALSE))</f>
        <v/>
      </c>
      <c r="AO99" s="30" t="str">
        <f t="shared" si="15"/>
        <v xml:space="preserve">O                </v>
      </c>
      <c r="AP99" s="29" t="s">
        <v>9</v>
      </c>
    </row>
    <row r="100" spans="2:42">
      <c r="B100" s="24">
        <v>86</v>
      </c>
      <c r="C100" s="24" t="str">
        <f t="shared" si="11"/>
        <v/>
      </c>
      <c r="D100" s="24" t="str">
        <f>IF(ISERROR(VLOOKUP(C100,Settings!A:B,2,FALSE)),C100,VLOOKUP(C100,Settings!A:B,2,FALSE))</f>
        <v/>
      </c>
      <c r="E100" s="30" t="str">
        <f t="shared" si="13"/>
        <v>H</v>
      </c>
      <c r="F100" s="24" t="str">
        <f t="shared" si="14"/>
        <v/>
      </c>
      <c r="G100" s="24" t="str">
        <f>IF(ISNA(VLOOKUP(F100,Settings!G:H,2,FALSE)),"",VLOOKUP(F100,Settings!G:H,2,FALSE))</f>
        <v/>
      </c>
      <c r="H100" s="25"/>
      <c r="AL100" s="29">
        <f t="shared" si="12"/>
        <v>1</v>
      </c>
      <c r="AM100" s="29"/>
      <c r="AN100" s="29" t="str">
        <f>IF(ISNA(VLOOKUP(AM100,Settings!G:H,2,FALSE)),"",VLOOKUP(AM100,Settings!G:H,2,FALSE))</f>
        <v/>
      </c>
      <c r="AO100" s="30" t="str">
        <f t="shared" si="15"/>
        <v xml:space="preserve">O                 </v>
      </c>
      <c r="AP100" s="29" t="s">
        <v>9</v>
      </c>
    </row>
    <row r="101" spans="2:42">
      <c r="B101" s="24">
        <v>87</v>
      </c>
      <c r="C101" s="24" t="str">
        <f t="shared" si="11"/>
        <v/>
      </c>
      <c r="D101" s="24" t="str">
        <f>IF(ISERROR(VLOOKUP(C101,Settings!A:B,2,FALSE)),C101,VLOOKUP(C101,Settings!A:B,2,FALSE))</f>
        <v/>
      </c>
      <c r="E101" s="30" t="str">
        <f t="shared" si="13"/>
        <v>H</v>
      </c>
      <c r="F101" s="24" t="str">
        <f t="shared" si="14"/>
        <v/>
      </c>
      <c r="G101" s="24" t="str">
        <f>IF(ISNA(VLOOKUP(F101,Settings!G:H,2,FALSE)),"",VLOOKUP(F101,Settings!G:H,2,FALSE))</f>
        <v/>
      </c>
      <c r="H101" s="25"/>
      <c r="AL101" s="29">
        <f t="shared" si="12"/>
        <v>2</v>
      </c>
      <c r="AM101" s="29"/>
      <c r="AN101" s="29" t="str">
        <f>IF(ISNA(VLOOKUP(AM101,Settings!G:H,2,FALSE)),"",VLOOKUP(AM101,Settings!G:H,2,FALSE))</f>
        <v/>
      </c>
      <c r="AO101" s="30" t="str">
        <f t="shared" si="15"/>
        <v xml:space="preserve">O                 </v>
      </c>
      <c r="AP101" s="29" t="s">
        <v>9</v>
      </c>
    </row>
    <row r="102" spans="2:42">
      <c r="B102" s="24">
        <v>88</v>
      </c>
      <c r="C102" s="24" t="str">
        <f t="shared" si="11"/>
        <v/>
      </c>
      <c r="D102" s="24" t="str">
        <f>IF(ISERROR(VLOOKUP(C102,Settings!A:B,2,FALSE)),C102,VLOOKUP(C102,Settings!A:B,2,FALSE))</f>
        <v/>
      </c>
      <c r="E102" s="30" t="str">
        <f t="shared" si="13"/>
        <v>H</v>
      </c>
      <c r="F102" s="24" t="str">
        <f t="shared" si="14"/>
        <v/>
      </c>
      <c r="G102" s="24" t="str">
        <f>IF(ISNA(VLOOKUP(F102,Settings!G:H,2,FALSE)),"",VLOOKUP(F102,Settings!G:H,2,FALSE))</f>
        <v/>
      </c>
      <c r="H102" s="25"/>
      <c r="AL102" s="29">
        <f t="shared" si="12"/>
        <v>3</v>
      </c>
      <c r="AM102" s="29"/>
      <c r="AN102" s="29" t="str">
        <f>IF(ISNA(VLOOKUP(AM102,Settings!G:H,2,FALSE)),"",VLOOKUP(AM102,Settings!G:H,2,FALSE))</f>
        <v/>
      </c>
      <c r="AO102" s="30" t="str">
        <f t="shared" si="15"/>
        <v xml:space="preserve">O                 </v>
      </c>
      <c r="AP102" s="29" t="s">
        <v>9</v>
      </c>
    </row>
    <row r="103" spans="2:42">
      <c r="B103" s="24">
        <v>89</v>
      </c>
      <c r="C103" s="24" t="str">
        <f t="shared" si="11"/>
        <v/>
      </c>
      <c r="D103" s="24" t="str">
        <f>IF(ISERROR(VLOOKUP(C103,Settings!A:B,2,FALSE)),C103,VLOOKUP(C103,Settings!A:B,2,FALSE))</f>
        <v/>
      </c>
      <c r="E103" s="30" t="str">
        <f t="shared" si="13"/>
        <v>H</v>
      </c>
      <c r="F103" s="24" t="str">
        <f t="shared" si="14"/>
        <v/>
      </c>
      <c r="G103" s="24" t="str">
        <f>IF(ISNA(VLOOKUP(F103,Settings!G:H,2,FALSE)),"",VLOOKUP(F103,Settings!G:H,2,FALSE))</f>
        <v/>
      </c>
      <c r="H103" s="25"/>
      <c r="AL103" s="29">
        <f t="shared" si="12"/>
        <v>4</v>
      </c>
      <c r="AM103" s="29"/>
      <c r="AN103" s="29" t="str">
        <f>IF(ISNA(VLOOKUP(AM103,Settings!G:H,2,FALSE)),"",VLOOKUP(AM103,Settings!G:H,2,FALSE))</f>
        <v/>
      </c>
      <c r="AO103" s="30" t="str">
        <f t="shared" si="15"/>
        <v xml:space="preserve">O                 </v>
      </c>
      <c r="AP103" s="29" t="s">
        <v>9</v>
      </c>
    </row>
    <row r="104" spans="2:42">
      <c r="B104" s="24">
        <v>90</v>
      </c>
      <c r="C104" s="24" t="str">
        <f t="shared" si="11"/>
        <v/>
      </c>
      <c r="D104" s="24" t="str">
        <f>IF(ISERROR(VLOOKUP(C104,Settings!A:B,2,FALSE)),C104,VLOOKUP(C104,Settings!A:B,2,FALSE))</f>
        <v/>
      </c>
      <c r="E104" s="30" t="str">
        <f t="shared" si="13"/>
        <v>H</v>
      </c>
      <c r="F104" s="24" t="str">
        <f t="shared" si="14"/>
        <v/>
      </c>
      <c r="G104" s="24" t="str">
        <f>IF(ISNA(VLOOKUP(F104,Settings!G:H,2,FALSE)),"",VLOOKUP(F104,Settings!G:H,2,FALSE))</f>
        <v/>
      </c>
      <c r="H104" s="25"/>
      <c r="AL104" s="29">
        <f t="shared" si="12"/>
        <v>5</v>
      </c>
      <c r="AM104" s="29"/>
      <c r="AN104" s="29" t="str">
        <f>IF(ISNA(VLOOKUP(AM104,Settings!G:H,2,FALSE)),"",VLOOKUP(AM104,Settings!G:H,2,FALSE))</f>
        <v/>
      </c>
      <c r="AO104" s="30" t="str">
        <f t="shared" si="15"/>
        <v xml:space="preserve">O                 </v>
      </c>
      <c r="AP104" s="29" t="s">
        <v>9</v>
      </c>
    </row>
    <row r="105" spans="2:42">
      <c r="B105" s="24">
        <v>91</v>
      </c>
      <c r="C105" s="24" t="str">
        <f t="shared" si="11"/>
        <v/>
      </c>
      <c r="D105" s="24" t="str">
        <f>IF(ISERROR(VLOOKUP(C105,Settings!A:B,2,FALSE)),C105,VLOOKUP(C105,Settings!A:B,2,FALSE))</f>
        <v/>
      </c>
      <c r="E105" s="30" t="str">
        <f t="shared" si="13"/>
        <v>H</v>
      </c>
      <c r="F105" s="24" t="str">
        <f t="shared" si="14"/>
        <v/>
      </c>
      <c r="G105" s="24" t="str">
        <f>IF(ISNA(VLOOKUP(F105,Settings!G:H,2,FALSE)),"",VLOOKUP(F105,Settings!G:H,2,FALSE))</f>
        <v/>
      </c>
      <c r="H105" s="25"/>
      <c r="AL105" s="29">
        <f t="shared" si="12"/>
        <v>1</v>
      </c>
      <c r="AM105" s="29"/>
      <c r="AN105" s="29" t="str">
        <f>IF(ISNA(VLOOKUP(AM105,Settings!G:H,2,FALSE)),"",VLOOKUP(AM105,Settings!G:H,2,FALSE))</f>
        <v/>
      </c>
      <c r="AO105" s="30" t="str">
        <f t="shared" si="15"/>
        <v xml:space="preserve">O                  </v>
      </c>
      <c r="AP105" s="29" t="s">
        <v>9</v>
      </c>
    </row>
    <row r="106" spans="2:42">
      <c r="B106" s="24">
        <v>92</v>
      </c>
      <c r="C106" s="24" t="str">
        <f t="shared" si="11"/>
        <v/>
      </c>
      <c r="D106" s="24" t="str">
        <f>IF(ISERROR(VLOOKUP(C106,Settings!A:B,2,FALSE)),C106,VLOOKUP(C106,Settings!A:B,2,FALSE))</f>
        <v/>
      </c>
      <c r="E106" s="30" t="str">
        <f t="shared" si="13"/>
        <v>H</v>
      </c>
      <c r="F106" s="24" t="str">
        <f t="shared" si="14"/>
        <v/>
      </c>
      <c r="G106" s="24" t="str">
        <f>IF(ISNA(VLOOKUP(F106,Settings!G:H,2,FALSE)),"",VLOOKUP(F106,Settings!G:H,2,FALSE))</f>
        <v/>
      </c>
      <c r="H106" s="25"/>
      <c r="AL106" s="29">
        <f t="shared" si="12"/>
        <v>2</v>
      </c>
      <c r="AM106" s="29"/>
      <c r="AN106" s="29" t="str">
        <f>IF(ISNA(VLOOKUP(AM106,Settings!G:H,2,FALSE)),"",VLOOKUP(AM106,Settings!G:H,2,FALSE))</f>
        <v/>
      </c>
      <c r="AO106" s="30" t="str">
        <f t="shared" si="15"/>
        <v xml:space="preserve">O                  </v>
      </c>
      <c r="AP106" s="29" t="s">
        <v>9</v>
      </c>
    </row>
    <row r="107" spans="2:42">
      <c r="B107" s="24">
        <v>93</v>
      </c>
      <c r="C107" s="24" t="str">
        <f t="shared" si="11"/>
        <v/>
      </c>
      <c r="D107" s="24" t="str">
        <f>IF(ISERROR(VLOOKUP(C107,Settings!A:B,2,FALSE)),C107,VLOOKUP(C107,Settings!A:B,2,FALSE))</f>
        <v/>
      </c>
      <c r="E107" s="30" t="str">
        <f t="shared" si="13"/>
        <v>H</v>
      </c>
      <c r="F107" s="24" t="str">
        <f t="shared" si="14"/>
        <v/>
      </c>
      <c r="G107" s="24" t="str">
        <f>IF(ISNA(VLOOKUP(F107,Settings!G:H,2,FALSE)),"",VLOOKUP(F107,Settings!G:H,2,FALSE))</f>
        <v/>
      </c>
      <c r="H107" s="25"/>
      <c r="AL107" s="29">
        <f t="shared" si="12"/>
        <v>3</v>
      </c>
      <c r="AM107" s="29"/>
      <c r="AN107" s="29" t="str">
        <f>IF(ISNA(VLOOKUP(AM107,Settings!G:H,2,FALSE)),"",VLOOKUP(AM107,Settings!G:H,2,FALSE))</f>
        <v/>
      </c>
      <c r="AO107" s="30" t="str">
        <f t="shared" si="15"/>
        <v xml:space="preserve">O                  </v>
      </c>
      <c r="AP107" s="29" t="s">
        <v>9</v>
      </c>
    </row>
    <row r="108" spans="2:42">
      <c r="B108" s="24">
        <v>94</v>
      </c>
      <c r="C108" s="24" t="str">
        <f t="shared" si="11"/>
        <v/>
      </c>
      <c r="D108" s="24" t="str">
        <f>IF(ISERROR(VLOOKUP(C108,Settings!A:B,2,FALSE)),C108,VLOOKUP(C108,Settings!A:B,2,FALSE))</f>
        <v/>
      </c>
      <c r="E108" s="30" t="str">
        <f t="shared" si="13"/>
        <v>H</v>
      </c>
      <c r="F108" s="24" t="str">
        <f t="shared" si="14"/>
        <v/>
      </c>
      <c r="G108" s="24" t="str">
        <f>IF(ISNA(VLOOKUP(F108,Settings!G:H,2,FALSE)),"",VLOOKUP(F108,Settings!G:H,2,FALSE))</f>
        <v/>
      </c>
      <c r="H108" s="25"/>
      <c r="AL108" s="29">
        <f t="shared" si="12"/>
        <v>4</v>
      </c>
      <c r="AM108" s="29"/>
      <c r="AN108" s="29" t="str">
        <f>IF(ISNA(VLOOKUP(AM108,Settings!G:H,2,FALSE)),"",VLOOKUP(AM108,Settings!G:H,2,FALSE))</f>
        <v/>
      </c>
      <c r="AO108" s="30" t="str">
        <f t="shared" si="15"/>
        <v xml:space="preserve">O                  </v>
      </c>
      <c r="AP108" s="29" t="s">
        <v>9</v>
      </c>
    </row>
    <row r="109" spans="2:42">
      <c r="B109" s="24">
        <v>95</v>
      </c>
      <c r="C109" s="24" t="str">
        <f t="shared" si="11"/>
        <v/>
      </c>
      <c r="D109" s="24" t="str">
        <f>IF(ISERROR(VLOOKUP(C109,Settings!A:B,2,FALSE)),C109,VLOOKUP(C109,Settings!A:B,2,FALSE))</f>
        <v/>
      </c>
      <c r="E109" s="30" t="str">
        <f t="shared" si="13"/>
        <v>H</v>
      </c>
      <c r="F109" s="24" t="str">
        <f t="shared" si="14"/>
        <v/>
      </c>
      <c r="G109" s="24" t="str">
        <f>IF(ISNA(VLOOKUP(F109,Settings!G:H,2,FALSE)),"",VLOOKUP(F109,Settings!G:H,2,FALSE))</f>
        <v/>
      </c>
      <c r="H109" s="25"/>
      <c r="AL109" s="29">
        <f t="shared" si="12"/>
        <v>5</v>
      </c>
      <c r="AM109" s="29"/>
      <c r="AN109" s="29" t="str">
        <f>IF(ISNA(VLOOKUP(AM109,Settings!G:H,2,FALSE)),"",VLOOKUP(AM109,Settings!G:H,2,FALSE))</f>
        <v/>
      </c>
      <c r="AO109" s="30" t="str">
        <f t="shared" si="15"/>
        <v xml:space="preserve">O                  </v>
      </c>
      <c r="AP109" s="29" t="s">
        <v>9</v>
      </c>
    </row>
    <row r="110" spans="2:42">
      <c r="B110" s="24">
        <v>96</v>
      </c>
      <c r="C110" s="24" t="str">
        <f t="shared" si="11"/>
        <v/>
      </c>
      <c r="D110" s="24" t="str">
        <f>IF(ISERROR(VLOOKUP(C110,Settings!A:B,2,FALSE)),C110,VLOOKUP(C110,Settings!A:B,2,FALSE))</f>
        <v/>
      </c>
      <c r="E110" s="30" t="str">
        <f t="shared" si="13"/>
        <v>H</v>
      </c>
      <c r="F110" s="24" t="str">
        <f t="shared" si="14"/>
        <v/>
      </c>
      <c r="G110" s="24" t="str">
        <f>IF(ISNA(VLOOKUP(F110,Settings!G:H,2,FALSE)),"",VLOOKUP(F110,Settings!G:H,2,FALSE))</f>
        <v/>
      </c>
      <c r="H110" s="25"/>
      <c r="AL110" s="29">
        <f t="shared" si="12"/>
        <v>1</v>
      </c>
      <c r="AM110" s="29"/>
      <c r="AN110" s="29" t="str">
        <f>IF(ISNA(VLOOKUP(AM110,Settings!G:H,2,FALSE)),"",VLOOKUP(AM110,Settings!G:H,2,FALSE))</f>
        <v/>
      </c>
      <c r="AO110" s="30" t="str">
        <f t="shared" si="15"/>
        <v xml:space="preserve">O                   </v>
      </c>
      <c r="AP110" s="29" t="s">
        <v>9</v>
      </c>
    </row>
    <row r="111" spans="2:42">
      <c r="B111" s="24">
        <v>97</v>
      </c>
      <c r="C111" s="24" t="str">
        <f t="shared" si="11"/>
        <v/>
      </c>
      <c r="D111" s="24" t="str">
        <f>IF(ISERROR(VLOOKUP(C111,Settings!A:B,2,FALSE)),C111,VLOOKUP(C111,Settings!A:B,2,FALSE))</f>
        <v/>
      </c>
      <c r="E111" s="30" t="str">
        <f t="shared" si="13"/>
        <v>H</v>
      </c>
      <c r="F111" s="24" t="str">
        <f t="shared" si="14"/>
        <v/>
      </c>
      <c r="G111" s="24" t="str">
        <f>IF(ISNA(VLOOKUP(F111,Settings!G:H,2,FALSE)),"",VLOOKUP(F111,Settings!G:H,2,FALSE))</f>
        <v/>
      </c>
      <c r="H111" s="25"/>
      <c r="AL111" s="29">
        <f t="shared" si="12"/>
        <v>2</v>
      </c>
      <c r="AM111" s="29"/>
      <c r="AN111" s="29" t="str">
        <f>IF(ISNA(VLOOKUP(AM111,Settings!G:H,2,FALSE)),"",VLOOKUP(AM111,Settings!G:H,2,FALSE))</f>
        <v/>
      </c>
      <c r="AO111" s="30" t="str">
        <f t="shared" si="15"/>
        <v xml:space="preserve">O                   </v>
      </c>
      <c r="AP111" s="29" t="s">
        <v>9</v>
      </c>
    </row>
    <row r="112" spans="2:42">
      <c r="B112" s="24">
        <v>98</v>
      </c>
      <c r="C112" s="24" t="str">
        <f t="shared" si="11"/>
        <v/>
      </c>
      <c r="D112" s="24" t="str">
        <f>IF(ISERROR(VLOOKUP(C112,Settings!A:B,2,FALSE)),C112,VLOOKUP(C112,Settings!A:B,2,FALSE))</f>
        <v/>
      </c>
      <c r="E112" s="30" t="str">
        <f t="shared" si="13"/>
        <v>H</v>
      </c>
      <c r="F112" s="24" t="str">
        <f t="shared" si="14"/>
        <v/>
      </c>
      <c r="G112" s="24" t="str">
        <f>IF(ISNA(VLOOKUP(F112,Settings!G:H,2,FALSE)),"",VLOOKUP(F112,Settings!G:H,2,FALSE))</f>
        <v/>
      </c>
      <c r="H112" s="25"/>
      <c r="AL112" s="29">
        <f t="shared" si="12"/>
        <v>3</v>
      </c>
      <c r="AM112" s="29"/>
      <c r="AN112" s="29" t="str">
        <f>IF(ISNA(VLOOKUP(AM112,Settings!G:H,2,FALSE)),"",VLOOKUP(AM112,Settings!G:H,2,FALSE))</f>
        <v/>
      </c>
      <c r="AO112" s="30" t="str">
        <f t="shared" si="15"/>
        <v xml:space="preserve">O                   </v>
      </c>
      <c r="AP112" s="29" t="s">
        <v>9</v>
      </c>
    </row>
    <row r="113" spans="2:42">
      <c r="B113" s="24">
        <v>99</v>
      </c>
      <c r="C113" s="24" t="str">
        <f t="shared" si="11"/>
        <v/>
      </c>
      <c r="D113" s="24" t="str">
        <f>IF(ISERROR(VLOOKUP(C113,Settings!A:B,2,FALSE)),C113,VLOOKUP(C113,Settings!A:B,2,FALSE))</f>
        <v/>
      </c>
      <c r="E113" s="30" t="str">
        <f t="shared" si="13"/>
        <v>H</v>
      </c>
      <c r="F113" s="24" t="str">
        <f t="shared" si="14"/>
        <v/>
      </c>
      <c r="G113" s="24" t="str">
        <f>IF(ISNA(VLOOKUP(F113,Settings!G:H,2,FALSE)),"",VLOOKUP(F113,Settings!G:H,2,FALSE))</f>
        <v/>
      </c>
      <c r="H113" s="25"/>
      <c r="AL113" s="29">
        <f t="shared" si="12"/>
        <v>4</v>
      </c>
      <c r="AM113" s="29"/>
      <c r="AN113" s="29" t="str">
        <f>IF(ISNA(VLOOKUP(AM113,Settings!G:H,2,FALSE)),"",VLOOKUP(AM113,Settings!G:H,2,FALSE))</f>
        <v/>
      </c>
      <c r="AO113" s="30" t="str">
        <f t="shared" si="15"/>
        <v xml:space="preserve">O                   </v>
      </c>
      <c r="AP113" s="29" t="s">
        <v>9</v>
      </c>
    </row>
    <row r="114" spans="2:42">
      <c r="B114" s="24">
        <v>100</v>
      </c>
      <c r="C114" s="24" t="str">
        <f t="shared" si="11"/>
        <v/>
      </c>
      <c r="D114" s="24" t="str">
        <f>IF(ISERROR(VLOOKUP(C114,Settings!A:B,2,FALSE)),C114,VLOOKUP(C114,Settings!A:B,2,FALSE))</f>
        <v/>
      </c>
      <c r="E114" s="30" t="str">
        <f t="shared" si="13"/>
        <v>H</v>
      </c>
      <c r="F114" s="24" t="str">
        <f t="shared" si="14"/>
        <v/>
      </c>
      <c r="G114" s="24" t="str">
        <f>IF(ISNA(VLOOKUP(F114,Settings!G:H,2,FALSE)),"",VLOOKUP(F114,Settings!G:H,2,FALSE))</f>
        <v/>
      </c>
      <c r="H114" s="25"/>
      <c r="AL114" s="29">
        <f t="shared" si="12"/>
        <v>5</v>
      </c>
      <c r="AM114" s="29"/>
      <c r="AN114" s="29" t="str">
        <f>IF(ISNA(VLOOKUP(AM114,Settings!G:H,2,FALSE)),"",VLOOKUP(AM114,Settings!G:H,2,FALSE))</f>
        <v/>
      </c>
      <c r="AO114" s="30" t="str">
        <f t="shared" si="15"/>
        <v xml:space="preserve">O                   </v>
      </c>
      <c r="AP114" s="29" t="s">
        <v>9</v>
      </c>
    </row>
    <row r="115" spans="2:42">
      <c r="B115" s="24">
        <v>101</v>
      </c>
      <c r="C115" s="24" t="str">
        <f t="shared" si="11"/>
        <v/>
      </c>
      <c r="D115" s="24" t="str">
        <f>IF(ISERROR(VLOOKUP(C115,Settings!A:B,2,FALSE)),C115,VLOOKUP(C115,Settings!A:B,2,FALSE))</f>
        <v/>
      </c>
      <c r="E115" s="30" t="str">
        <f t="shared" si="13"/>
        <v>H</v>
      </c>
      <c r="F115" s="24" t="str">
        <f t="shared" si="14"/>
        <v/>
      </c>
      <c r="G115" s="24" t="str">
        <f>IF(ISNA(VLOOKUP(F115,Settings!G:H,2,FALSE)),"",VLOOKUP(F115,Settings!G:H,2,FALSE))</f>
        <v/>
      </c>
      <c r="H115" s="25"/>
      <c r="AL115" s="29">
        <f t="shared" si="12"/>
        <v>1</v>
      </c>
      <c r="AM115" s="29"/>
      <c r="AN115" s="29" t="str">
        <f>IF(ISNA(VLOOKUP(AM115,Settings!G:H,2,FALSE)),"",VLOOKUP(AM115,Settings!G:H,2,FALSE))</f>
        <v/>
      </c>
      <c r="AO115" s="30" t="str">
        <f t="shared" si="15"/>
        <v xml:space="preserve">O                    </v>
      </c>
      <c r="AP115" s="29" t="s">
        <v>9</v>
      </c>
    </row>
    <row r="116" spans="2:42">
      <c r="B116" s="24">
        <v>102</v>
      </c>
      <c r="C116" s="24" t="str">
        <f t="shared" si="11"/>
        <v/>
      </c>
      <c r="D116" s="24" t="str">
        <f>IF(ISERROR(VLOOKUP(C116,Settings!A:B,2,FALSE)),C116,VLOOKUP(C116,Settings!A:B,2,FALSE))</f>
        <v/>
      </c>
      <c r="E116" s="30" t="str">
        <f t="shared" si="13"/>
        <v>H</v>
      </c>
      <c r="F116" s="24" t="str">
        <f t="shared" si="14"/>
        <v/>
      </c>
      <c r="G116" s="24" t="str">
        <f>IF(ISNA(VLOOKUP(F116,Settings!G:H,2,FALSE)),"",VLOOKUP(F116,Settings!G:H,2,FALSE))</f>
        <v/>
      </c>
      <c r="H116" s="25"/>
      <c r="AL116" s="29">
        <f t="shared" si="12"/>
        <v>2</v>
      </c>
      <c r="AM116" s="29"/>
      <c r="AN116" s="29" t="str">
        <f>IF(ISNA(VLOOKUP(AM116,Settings!G:H,2,FALSE)),"",VLOOKUP(AM116,Settings!G:H,2,FALSE))</f>
        <v/>
      </c>
      <c r="AO116" s="30" t="str">
        <f t="shared" si="15"/>
        <v xml:space="preserve">O                    </v>
      </c>
      <c r="AP116" s="29" t="s">
        <v>9</v>
      </c>
    </row>
    <row r="117" spans="2:42">
      <c r="B117" s="24">
        <v>103</v>
      </c>
      <c r="C117" s="24" t="str">
        <f t="shared" si="11"/>
        <v/>
      </c>
      <c r="D117" s="24" t="str">
        <f>IF(ISERROR(VLOOKUP(C117,Settings!A:B,2,FALSE)),C117,VLOOKUP(C117,Settings!A:B,2,FALSE))</f>
        <v/>
      </c>
      <c r="E117" s="30" t="str">
        <f t="shared" si="13"/>
        <v>H</v>
      </c>
      <c r="F117" s="24" t="str">
        <f t="shared" si="14"/>
        <v/>
      </c>
      <c r="G117" s="24" t="str">
        <f>IF(ISNA(VLOOKUP(F117,Settings!G:H,2,FALSE)),"",VLOOKUP(F117,Settings!G:H,2,FALSE))</f>
        <v/>
      </c>
      <c r="H117" s="25"/>
      <c r="AL117" s="29">
        <f t="shared" si="12"/>
        <v>3</v>
      </c>
      <c r="AM117" s="29"/>
      <c r="AN117" s="29" t="str">
        <f>IF(ISNA(VLOOKUP(AM117,Settings!G:H,2,FALSE)),"",VLOOKUP(AM117,Settings!G:H,2,FALSE))</f>
        <v/>
      </c>
      <c r="AO117" s="30" t="str">
        <f t="shared" si="15"/>
        <v xml:space="preserve">O                    </v>
      </c>
      <c r="AP117" s="29" t="s">
        <v>9</v>
      </c>
    </row>
    <row r="118" spans="2:42">
      <c r="B118" s="24">
        <v>104</v>
      </c>
      <c r="C118" s="24" t="str">
        <f t="shared" si="11"/>
        <v/>
      </c>
      <c r="D118" s="24" t="str">
        <f>IF(ISERROR(VLOOKUP(C118,Settings!A:B,2,FALSE)),C118,VLOOKUP(C118,Settings!A:B,2,FALSE))</f>
        <v/>
      </c>
      <c r="E118" s="30" t="str">
        <f t="shared" si="13"/>
        <v>H</v>
      </c>
      <c r="F118" s="24" t="str">
        <f t="shared" si="14"/>
        <v/>
      </c>
      <c r="G118" s="24" t="str">
        <f>IF(ISNA(VLOOKUP(F118,Settings!G:H,2,FALSE)),"",VLOOKUP(F118,Settings!G:H,2,FALSE))</f>
        <v/>
      </c>
      <c r="H118" s="25"/>
      <c r="AL118" s="29">
        <f t="shared" si="12"/>
        <v>4</v>
      </c>
      <c r="AM118" s="29"/>
      <c r="AN118" s="29" t="str">
        <f>IF(ISNA(VLOOKUP(AM118,Settings!G:H,2,FALSE)),"",VLOOKUP(AM118,Settings!G:H,2,FALSE))</f>
        <v/>
      </c>
      <c r="AO118" s="30" t="str">
        <f t="shared" si="15"/>
        <v xml:space="preserve">O                    </v>
      </c>
      <c r="AP118" s="29" t="s">
        <v>9</v>
      </c>
    </row>
    <row r="119" spans="2:42">
      <c r="B119" s="24">
        <v>105</v>
      </c>
      <c r="C119" s="24" t="str">
        <f t="shared" si="11"/>
        <v/>
      </c>
      <c r="D119" s="24" t="str">
        <f>IF(ISERROR(VLOOKUP(C119,Settings!A:B,2,FALSE)),C119,VLOOKUP(C119,Settings!A:B,2,FALSE))</f>
        <v/>
      </c>
      <c r="E119" s="30" t="str">
        <f t="shared" si="13"/>
        <v>H</v>
      </c>
      <c r="F119" s="24" t="str">
        <f t="shared" si="14"/>
        <v/>
      </c>
      <c r="G119" s="24" t="str">
        <f>IF(ISNA(VLOOKUP(F119,Settings!G:H,2,FALSE)),"",VLOOKUP(F119,Settings!G:H,2,FALSE))</f>
        <v/>
      </c>
      <c r="H119" s="25"/>
      <c r="AL119" s="29">
        <f t="shared" si="12"/>
        <v>5</v>
      </c>
      <c r="AM119" s="29"/>
      <c r="AN119" s="29" t="str">
        <f>IF(ISNA(VLOOKUP(AM119,Settings!G:H,2,FALSE)),"",VLOOKUP(AM119,Settings!G:H,2,FALSE))</f>
        <v/>
      </c>
      <c r="AO119" s="30" t="str">
        <f t="shared" si="15"/>
        <v xml:space="preserve">O                    </v>
      </c>
      <c r="AP119" s="29" t="s">
        <v>9</v>
      </c>
    </row>
    <row r="120" spans="2:42">
      <c r="B120" s="24">
        <v>106</v>
      </c>
      <c r="C120" s="24" t="str">
        <f t="shared" si="11"/>
        <v/>
      </c>
      <c r="D120" s="24" t="str">
        <f>IF(ISERROR(VLOOKUP(C120,Settings!A:B,2,FALSE)),C120,VLOOKUP(C120,Settings!A:B,2,FALSE))</f>
        <v/>
      </c>
      <c r="E120" s="30" t="str">
        <f t="shared" si="13"/>
        <v>H</v>
      </c>
      <c r="F120" s="24" t="str">
        <f t="shared" si="14"/>
        <v/>
      </c>
      <c r="G120" s="24" t="str">
        <f>IF(ISNA(VLOOKUP(F120,Settings!G:H,2,FALSE)),"",VLOOKUP(F120,Settings!G:H,2,FALSE))</f>
        <v/>
      </c>
      <c r="H120" s="25"/>
      <c r="AL120" s="29">
        <f t="shared" si="12"/>
        <v>1</v>
      </c>
      <c r="AM120" s="29"/>
      <c r="AN120" s="29" t="str">
        <f>IF(ISNA(VLOOKUP(AM120,Settings!G:H,2,FALSE)),"",VLOOKUP(AM120,Settings!G:H,2,FALSE))</f>
        <v/>
      </c>
      <c r="AO120" s="30" t="str">
        <f t="shared" si="15"/>
        <v xml:space="preserve">O                     </v>
      </c>
      <c r="AP120" s="29" t="s">
        <v>9</v>
      </c>
    </row>
    <row r="121" spans="2:42">
      <c r="B121" s="24">
        <v>107</v>
      </c>
      <c r="C121" s="24" t="str">
        <f t="shared" si="11"/>
        <v/>
      </c>
      <c r="D121" s="24" t="str">
        <f>IF(ISERROR(VLOOKUP(C121,Settings!A:B,2,FALSE)),C121,VLOOKUP(C121,Settings!A:B,2,FALSE))</f>
        <v/>
      </c>
      <c r="E121" s="30" t="str">
        <f t="shared" si="13"/>
        <v>H</v>
      </c>
      <c r="F121" s="24" t="str">
        <f t="shared" si="14"/>
        <v/>
      </c>
      <c r="G121" s="24" t="str">
        <f>IF(ISNA(VLOOKUP(F121,Settings!G:H,2,FALSE)),"",VLOOKUP(F121,Settings!G:H,2,FALSE))</f>
        <v/>
      </c>
      <c r="H121" s="25"/>
      <c r="AL121" s="29">
        <f t="shared" si="12"/>
        <v>2</v>
      </c>
      <c r="AM121" s="29"/>
      <c r="AN121" s="29" t="str">
        <f>IF(ISNA(VLOOKUP(AM121,Settings!G:H,2,FALSE)),"",VLOOKUP(AM121,Settings!G:H,2,FALSE))</f>
        <v/>
      </c>
      <c r="AO121" s="30" t="str">
        <f t="shared" si="15"/>
        <v xml:space="preserve">O                     </v>
      </c>
      <c r="AP121" s="29" t="s">
        <v>9</v>
      </c>
    </row>
    <row r="122" spans="2:42">
      <c r="B122" s="24">
        <v>108</v>
      </c>
      <c r="C122" s="24" t="str">
        <f t="shared" si="11"/>
        <v/>
      </c>
      <c r="D122" s="24" t="str">
        <f>IF(ISERROR(VLOOKUP(C122,Settings!A:B,2,FALSE)),C122,VLOOKUP(C122,Settings!A:B,2,FALSE))</f>
        <v/>
      </c>
      <c r="E122" s="30" t="str">
        <f t="shared" si="13"/>
        <v>H</v>
      </c>
      <c r="F122" s="24" t="str">
        <f t="shared" si="14"/>
        <v/>
      </c>
      <c r="G122" s="24" t="str">
        <f>IF(ISNA(VLOOKUP(F122,Settings!G:H,2,FALSE)),"",VLOOKUP(F122,Settings!G:H,2,FALSE))</f>
        <v/>
      </c>
      <c r="H122" s="25"/>
      <c r="AL122" s="29">
        <f t="shared" si="12"/>
        <v>3</v>
      </c>
      <c r="AM122" s="29"/>
      <c r="AN122" s="29" t="str">
        <f>IF(ISNA(VLOOKUP(AM122,Settings!G:H,2,FALSE)),"",VLOOKUP(AM122,Settings!G:H,2,FALSE))</f>
        <v/>
      </c>
      <c r="AO122" s="30" t="str">
        <f t="shared" si="15"/>
        <v xml:space="preserve">O                     </v>
      </c>
      <c r="AP122" s="29" t="s">
        <v>9</v>
      </c>
    </row>
    <row r="123" spans="2:42">
      <c r="B123" s="24">
        <v>109</v>
      </c>
      <c r="C123" s="24" t="str">
        <f t="shared" si="11"/>
        <v/>
      </c>
      <c r="D123" s="24" t="str">
        <f>IF(ISERROR(VLOOKUP(C123,Settings!A:B,2,FALSE)),C123,VLOOKUP(C123,Settings!A:B,2,FALSE))</f>
        <v/>
      </c>
      <c r="E123" s="30" t="str">
        <f t="shared" si="13"/>
        <v>H</v>
      </c>
      <c r="F123" s="24" t="str">
        <f t="shared" si="14"/>
        <v/>
      </c>
      <c r="G123" s="24" t="str">
        <f>IF(ISNA(VLOOKUP(F123,Settings!G:H,2,FALSE)),"",VLOOKUP(F123,Settings!G:H,2,FALSE))</f>
        <v/>
      </c>
      <c r="H123" s="25"/>
      <c r="AL123" s="29">
        <f t="shared" si="12"/>
        <v>4</v>
      </c>
      <c r="AM123" s="29"/>
      <c r="AN123" s="29" t="str">
        <f>IF(ISNA(VLOOKUP(AM123,Settings!G:H,2,FALSE)),"",VLOOKUP(AM123,Settings!G:H,2,FALSE))</f>
        <v/>
      </c>
      <c r="AO123" s="30" t="str">
        <f t="shared" si="15"/>
        <v xml:space="preserve">O                     </v>
      </c>
      <c r="AP123" s="29" t="s">
        <v>9</v>
      </c>
    </row>
    <row r="124" spans="2:42">
      <c r="B124" s="24">
        <v>110</v>
      </c>
      <c r="C124" s="24" t="str">
        <f t="shared" si="11"/>
        <v/>
      </c>
      <c r="D124" s="24" t="str">
        <f>IF(ISERROR(VLOOKUP(C124,Settings!A:B,2,FALSE)),C124,VLOOKUP(C124,Settings!A:B,2,FALSE))</f>
        <v/>
      </c>
      <c r="E124" s="30" t="str">
        <f t="shared" si="13"/>
        <v>H</v>
      </c>
      <c r="F124" s="24" t="str">
        <f t="shared" si="14"/>
        <v/>
      </c>
      <c r="G124" s="24" t="str">
        <f>IF(ISNA(VLOOKUP(F124,Settings!G:H,2,FALSE)),"",VLOOKUP(F124,Settings!G:H,2,FALSE))</f>
        <v/>
      </c>
      <c r="H124" s="25"/>
      <c r="AL124" s="29">
        <f t="shared" si="12"/>
        <v>5</v>
      </c>
      <c r="AM124" s="29"/>
      <c r="AN124" s="29" t="str">
        <f>IF(ISNA(VLOOKUP(AM124,Settings!G:H,2,FALSE)),"",VLOOKUP(AM124,Settings!G:H,2,FALSE))</f>
        <v/>
      </c>
      <c r="AO124" s="30" t="str">
        <f t="shared" si="15"/>
        <v xml:space="preserve">O                     </v>
      </c>
      <c r="AP124" s="29" t="s">
        <v>9</v>
      </c>
    </row>
    <row r="125" spans="2:42">
      <c r="B125" s="24">
        <v>111</v>
      </c>
      <c r="C125" s="24" t="str">
        <f t="shared" si="11"/>
        <v/>
      </c>
      <c r="D125" s="24" t="str">
        <f>IF(ISERROR(VLOOKUP(C125,Settings!A:B,2,FALSE)),C125,VLOOKUP(C125,Settings!A:B,2,FALSE))</f>
        <v/>
      </c>
      <c r="E125" s="30" t="str">
        <f t="shared" si="13"/>
        <v>H</v>
      </c>
      <c r="F125" s="24" t="str">
        <f t="shared" si="14"/>
        <v/>
      </c>
      <c r="G125" s="24" t="str">
        <f>IF(ISNA(VLOOKUP(F125,Settings!G:H,2,FALSE)),"",VLOOKUP(F125,Settings!G:H,2,FALSE))</f>
        <v/>
      </c>
      <c r="H125" s="25"/>
      <c r="AL125" s="29">
        <f t="shared" si="12"/>
        <v>1</v>
      </c>
      <c r="AM125" s="29"/>
      <c r="AN125" s="29" t="str">
        <f>IF(ISNA(VLOOKUP(AM125,Settings!G:H,2,FALSE)),"",VLOOKUP(AM125,Settings!G:H,2,FALSE))</f>
        <v/>
      </c>
      <c r="AO125" s="30" t="str">
        <f t="shared" si="15"/>
        <v xml:space="preserve">O                      </v>
      </c>
      <c r="AP125" s="29" t="s">
        <v>9</v>
      </c>
    </row>
    <row r="126" spans="2:42">
      <c r="B126" s="24">
        <v>112</v>
      </c>
      <c r="C126" s="24" t="str">
        <f t="shared" si="11"/>
        <v/>
      </c>
      <c r="D126" s="24" t="str">
        <f>IF(ISERROR(VLOOKUP(C126,Settings!A:B,2,FALSE)),C126,VLOOKUP(C126,Settings!A:B,2,FALSE))</f>
        <v/>
      </c>
      <c r="E126" s="30" t="str">
        <f t="shared" si="13"/>
        <v>H</v>
      </c>
      <c r="F126" s="24" t="str">
        <f t="shared" si="14"/>
        <v/>
      </c>
      <c r="G126" s="24" t="str">
        <f>IF(ISNA(VLOOKUP(F126,Settings!G:H,2,FALSE)),"",VLOOKUP(F126,Settings!G:H,2,FALSE))</f>
        <v/>
      </c>
      <c r="H126" s="25"/>
      <c r="AL126" s="29">
        <f t="shared" si="12"/>
        <v>2</v>
      </c>
      <c r="AM126" s="29"/>
      <c r="AN126" s="29" t="str">
        <f>IF(ISNA(VLOOKUP(AM126,Settings!G:H,2,FALSE)),"",VLOOKUP(AM126,Settings!G:H,2,FALSE))</f>
        <v/>
      </c>
      <c r="AO126" s="30" t="str">
        <f t="shared" si="15"/>
        <v xml:space="preserve">O                      </v>
      </c>
      <c r="AP126" s="29" t="s">
        <v>9</v>
      </c>
    </row>
    <row r="127" spans="2:42">
      <c r="B127" s="24">
        <v>113</v>
      </c>
      <c r="C127" s="24" t="str">
        <f t="shared" si="11"/>
        <v/>
      </c>
      <c r="D127" s="24" t="str">
        <f>IF(ISERROR(VLOOKUP(C127,Settings!A:B,2,FALSE)),C127,VLOOKUP(C127,Settings!A:B,2,FALSE))</f>
        <v/>
      </c>
      <c r="E127" s="30" t="str">
        <f t="shared" si="13"/>
        <v>H</v>
      </c>
      <c r="F127" s="24" t="str">
        <f t="shared" si="14"/>
        <v/>
      </c>
      <c r="G127" s="24" t="str">
        <f>IF(ISNA(VLOOKUP(F127,Settings!G:H,2,FALSE)),"",VLOOKUP(F127,Settings!G:H,2,FALSE))</f>
        <v/>
      </c>
      <c r="H127" s="25"/>
      <c r="AL127" s="29">
        <f t="shared" si="12"/>
        <v>3</v>
      </c>
      <c r="AM127" s="29"/>
      <c r="AN127" s="29" t="str">
        <f>IF(ISNA(VLOOKUP(AM127,Settings!G:H,2,FALSE)),"",VLOOKUP(AM127,Settings!G:H,2,FALSE))</f>
        <v/>
      </c>
      <c r="AO127" s="30" t="str">
        <f t="shared" si="15"/>
        <v xml:space="preserve">O                      </v>
      </c>
      <c r="AP127" s="29" t="s">
        <v>9</v>
      </c>
    </row>
    <row r="128" spans="2:42">
      <c r="B128" s="24">
        <v>114</v>
      </c>
      <c r="C128" s="24" t="str">
        <f t="shared" si="11"/>
        <v/>
      </c>
      <c r="D128" s="24" t="str">
        <f>IF(ISERROR(VLOOKUP(C128,Settings!A:B,2,FALSE)),C128,VLOOKUP(C128,Settings!A:B,2,FALSE))</f>
        <v/>
      </c>
      <c r="E128" s="30" t="str">
        <f t="shared" si="13"/>
        <v>H</v>
      </c>
      <c r="F128" s="24" t="str">
        <f t="shared" si="14"/>
        <v/>
      </c>
      <c r="G128" s="24" t="str">
        <f>IF(ISNA(VLOOKUP(F128,Settings!G:H,2,FALSE)),"",VLOOKUP(F128,Settings!G:H,2,FALSE))</f>
        <v/>
      </c>
      <c r="H128" s="25"/>
      <c r="AL128" s="29">
        <f t="shared" si="12"/>
        <v>4</v>
      </c>
      <c r="AM128" s="29"/>
      <c r="AN128" s="29" t="str">
        <f>IF(ISNA(VLOOKUP(AM128,Settings!G:H,2,FALSE)),"",VLOOKUP(AM128,Settings!G:H,2,FALSE))</f>
        <v/>
      </c>
      <c r="AO128" s="30" t="str">
        <f t="shared" si="15"/>
        <v xml:space="preserve">O                      </v>
      </c>
      <c r="AP128" s="29" t="s">
        <v>9</v>
      </c>
    </row>
    <row r="129" spans="2:42">
      <c r="B129" s="24">
        <v>115</v>
      </c>
      <c r="C129" s="24" t="str">
        <f t="shared" si="11"/>
        <v/>
      </c>
      <c r="D129" s="24" t="str">
        <f>IF(ISERROR(VLOOKUP(C129,Settings!A:B,2,FALSE)),C129,VLOOKUP(C129,Settings!A:B,2,FALSE))</f>
        <v/>
      </c>
      <c r="E129" s="30" t="str">
        <f t="shared" si="13"/>
        <v>H</v>
      </c>
      <c r="F129" s="24" t="str">
        <f t="shared" si="14"/>
        <v/>
      </c>
      <c r="G129" s="24" t="str">
        <f>IF(ISNA(VLOOKUP(F129,Settings!G:H,2,FALSE)),"",VLOOKUP(F129,Settings!G:H,2,FALSE))</f>
        <v/>
      </c>
      <c r="H129" s="25"/>
      <c r="AL129" s="29">
        <f t="shared" si="12"/>
        <v>5</v>
      </c>
      <c r="AM129" s="29"/>
      <c r="AN129" s="29" t="str">
        <f>IF(ISNA(VLOOKUP(AM129,Settings!G:H,2,FALSE)),"",VLOOKUP(AM129,Settings!G:H,2,FALSE))</f>
        <v/>
      </c>
      <c r="AO129" s="30" t="str">
        <f t="shared" si="15"/>
        <v xml:space="preserve">O                      </v>
      </c>
      <c r="AP129" s="29" t="s">
        <v>9</v>
      </c>
    </row>
    <row r="130" spans="2:42">
      <c r="B130" s="24">
        <v>116</v>
      </c>
      <c r="C130" s="24" t="str">
        <f t="shared" si="11"/>
        <v/>
      </c>
      <c r="D130" s="24" t="str">
        <f>IF(ISERROR(VLOOKUP(C130,Settings!A:B,2,FALSE)),C130,VLOOKUP(C130,Settings!A:B,2,FALSE))</f>
        <v/>
      </c>
      <c r="E130" s="30" t="str">
        <f t="shared" si="13"/>
        <v>H</v>
      </c>
      <c r="F130" s="24" t="str">
        <f t="shared" si="14"/>
        <v/>
      </c>
      <c r="G130" s="24" t="str">
        <f>IF(ISNA(VLOOKUP(F130,Settings!G:H,2,FALSE)),"",VLOOKUP(F130,Settings!G:H,2,FALSE))</f>
        <v/>
      </c>
      <c r="H130" s="25"/>
      <c r="AL130" s="29">
        <f t="shared" si="12"/>
        <v>1</v>
      </c>
      <c r="AM130" s="29"/>
      <c r="AN130" s="29" t="str">
        <f>IF(ISNA(VLOOKUP(AM130,Settings!G:H,2,FALSE)),"",VLOOKUP(AM130,Settings!G:H,2,FALSE))</f>
        <v/>
      </c>
      <c r="AO130" s="30" t="str">
        <f t="shared" si="15"/>
        <v xml:space="preserve">O                       </v>
      </c>
      <c r="AP130" s="29" t="s">
        <v>9</v>
      </c>
    </row>
    <row r="131" spans="2:42">
      <c r="B131" s="24">
        <v>117</v>
      </c>
      <c r="C131" s="24" t="str">
        <f t="shared" si="11"/>
        <v/>
      </c>
      <c r="D131" s="24" t="str">
        <f>IF(ISERROR(VLOOKUP(C131,Settings!A:B,2,FALSE)),C131,VLOOKUP(C131,Settings!A:B,2,FALSE))</f>
        <v/>
      </c>
      <c r="E131" s="30" t="str">
        <f t="shared" si="13"/>
        <v>H</v>
      </c>
      <c r="F131" s="24" t="str">
        <f t="shared" si="14"/>
        <v/>
      </c>
      <c r="G131" s="24" t="str">
        <f>IF(ISNA(VLOOKUP(F131,Settings!G:H,2,FALSE)),"",VLOOKUP(F131,Settings!G:H,2,FALSE))</f>
        <v/>
      </c>
      <c r="H131" s="25"/>
      <c r="AL131" s="29">
        <f t="shared" si="12"/>
        <v>2</v>
      </c>
      <c r="AM131" s="29"/>
      <c r="AN131" s="29" t="str">
        <f>IF(ISNA(VLOOKUP(AM131,Settings!G:H,2,FALSE)),"",VLOOKUP(AM131,Settings!G:H,2,FALSE))</f>
        <v/>
      </c>
      <c r="AO131" s="30" t="str">
        <f t="shared" si="15"/>
        <v xml:space="preserve">O                       </v>
      </c>
      <c r="AP131" s="29" t="s">
        <v>9</v>
      </c>
    </row>
    <row r="132" spans="2:42">
      <c r="B132" s="24">
        <v>118</v>
      </c>
      <c r="C132" s="24" t="str">
        <f t="shared" si="11"/>
        <v/>
      </c>
      <c r="D132" s="24" t="str">
        <f>IF(ISERROR(VLOOKUP(C132,Settings!A:B,2,FALSE)),C132,VLOOKUP(C132,Settings!A:B,2,FALSE))</f>
        <v/>
      </c>
      <c r="E132" s="30" t="str">
        <f t="shared" si="13"/>
        <v>H</v>
      </c>
      <c r="F132" s="24" t="str">
        <f t="shared" si="14"/>
        <v/>
      </c>
      <c r="G132" s="24" t="str">
        <f>IF(ISNA(VLOOKUP(F132,Settings!G:H,2,FALSE)),"",VLOOKUP(F132,Settings!G:H,2,FALSE))</f>
        <v/>
      </c>
      <c r="H132" s="25"/>
      <c r="AL132" s="29">
        <f t="shared" si="12"/>
        <v>3</v>
      </c>
      <c r="AM132" s="29"/>
      <c r="AN132" s="29" t="str">
        <f>IF(ISNA(VLOOKUP(AM132,Settings!G:H,2,FALSE)),"",VLOOKUP(AM132,Settings!G:H,2,FALSE))</f>
        <v/>
      </c>
      <c r="AO132" s="30" t="str">
        <f t="shared" si="15"/>
        <v xml:space="preserve">O                       </v>
      </c>
      <c r="AP132" s="29" t="s">
        <v>9</v>
      </c>
    </row>
    <row r="133" spans="2:42">
      <c r="B133" s="24">
        <v>119</v>
      </c>
      <c r="C133" s="24" t="str">
        <f t="shared" si="11"/>
        <v/>
      </c>
      <c r="D133" s="24" t="str">
        <f>IF(ISERROR(VLOOKUP(C133,Settings!A:B,2,FALSE)),C133,VLOOKUP(C133,Settings!A:B,2,FALSE))</f>
        <v/>
      </c>
      <c r="E133" s="30" t="str">
        <f t="shared" si="13"/>
        <v>H</v>
      </c>
      <c r="F133" s="24" t="str">
        <f t="shared" si="14"/>
        <v/>
      </c>
      <c r="G133" s="24" t="str">
        <f>IF(ISNA(VLOOKUP(F133,Settings!G:H,2,FALSE)),"",VLOOKUP(F133,Settings!G:H,2,FALSE))</f>
        <v/>
      </c>
      <c r="H133" s="25"/>
      <c r="AL133" s="29">
        <f t="shared" si="12"/>
        <v>4</v>
      </c>
      <c r="AM133" s="29"/>
      <c r="AN133" s="29" t="str">
        <f>IF(ISNA(VLOOKUP(AM133,Settings!G:H,2,FALSE)),"",VLOOKUP(AM133,Settings!G:H,2,FALSE))</f>
        <v/>
      </c>
      <c r="AO133" s="30" t="str">
        <f t="shared" si="15"/>
        <v xml:space="preserve">O                       </v>
      </c>
      <c r="AP133" s="29" t="s">
        <v>9</v>
      </c>
    </row>
    <row r="134" spans="2:42">
      <c r="B134" s="24">
        <v>120</v>
      </c>
      <c r="C134" s="24" t="str">
        <f t="shared" si="11"/>
        <v/>
      </c>
      <c r="D134" s="24" t="str">
        <f>IF(ISERROR(VLOOKUP(C134,Settings!A:B,2,FALSE)),C134,VLOOKUP(C134,Settings!A:B,2,FALSE))</f>
        <v/>
      </c>
      <c r="E134" s="30" t="str">
        <f t="shared" si="13"/>
        <v>H</v>
      </c>
      <c r="F134" s="24" t="str">
        <f t="shared" si="14"/>
        <v/>
      </c>
      <c r="G134" s="24" t="str">
        <f>IF(ISNA(VLOOKUP(F134,Settings!G:H,2,FALSE)),"",VLOOKUP(F134,Settings!G:H,2,FALSE))</f>
        <v/>
      </c>
      <c r="H134" s="25"/>
      <c r="AL134" s="29">
        <f t="shared" si="12"/>
        <v>5</v>
      </c>
      <c r="AM134" s="29"/>
      <c r="AN134" s="29" t="str">
        <f>IF(ISNA(VLOOKUP(AM134,Settings!G:H,2,FALSE)),"",VLOOKUP(AM134,Settings!G:H,2,FALSE))</f>
        <v/>
      </c>
      <c r="AO134" s="30" t="str">
        <f t="shared" si="15"/>
        <v xml:space="preserve">O                       </v>
      </c>
      <c r="AP134" s="29" t="s">
        <v>9</v>
      </c>
    </row>
    <row r="135" spans="2:42">
      <c r="B135" s="24">
        <v>121</v>
      </c>
      <c r="C135" s="24" t="str">
        <f t="shared" si="11"/>
        <v/>
      </c>
      <c r="D135" s="24" t="str">
        <f>IF(ISERROR(VLOOKUP(C135,Settings!A:B,2,FALSE)),C135,VLOOKUP(C135,Settings!A:B,2,FALSE))</f>
        <v/>
      </c>
      <c r="E135" s="30" t="str">
        <f t="shared" si="13"/>
        <v>H</v>
      </c>
      <c r="F135" s="24" t="str">
        <f t="shared" si="14"/>
        <v/>
      </c>
      <c r="G135" s="24" t="str">
        <f>IF(ISNA(VLOOKUP(F135,Settings!G:H,2,FALSE)),"",VLOOKUP(F135,Settings!G:H,2,FALSE))</f>
        <v/>
      </c>
      <c r="H135" s="25"/>
      <c r="AL135" s="29">
        <f t="shared" si="12"/>
        <v>1</v>
      </c>
      <c r="AM135" s="29"/>
      <c r="AN135" s="29" t="str">
        <f>IF(ISNA(VLOOKUP(AM135,Settings!G:H,2,FALSE)),"",VLOOKUP(AM135,Settings!G:H,2,FALSE))</f>
        <v/>
      </c>
      <c r="AO135" s="30" t="str">
        <f t="shared" si="15"/>
        <v xml:space="preserve">O                        </v>
      </c>
      <c r="AP135" s="29" t="s">
        <v>9</v>
      </c>
    </row>
    <row r="136" spans="2:42">
      <c r="B136" s="24">
        <v>122</v>
      </c>
      <c r="C136" s="24" t="str">
        <f t="shared" si="11"/>
        <v/>
      </c>
      <c r="D136" s="24" t="str">
        <f>IF(ISERROR(VLOOKUP(C136,Settings!A:B,2,FALSE)),C136,VLOOKUP(C136,Settings!A:B,2,FALSE))</f>
        <v/>
      </c>
      <c r="E136" s="30" t="str">
        <f t="shared" si="13"/>
        <v>H</v>
      </c>
      <c r="F136" s="24" t="str">
        <f t="shared" si="14"/>
        <v/>
      </c>
      <c r="G136" s="24" t="str">
        <f>IF(ISNA(VLOOKUP(F136,Settings!G:H,2,FALSE)),"",VLOOKUP(F136,Settings!G:H,2,FALSE))</f>
        <v/>
      </c>
      <c r="H136" s="25"/>
      <c r="AL136" s="29">
        <f t="shared" si="12"/>
        <v>2</v>
      </c>
      <c r="AM136" s="29"/>
      <c r="AN136" s="29" t="str">
        <f>IF(ISNA(VLOOKUP(AM136,Settings!G:H,2,FALSE)),"",VLOOKUP(AM136,Settings!G:H,2,FALSE))</f>
        <v/>
      </c>
      <c r="AO136" s="30" t="str">
        <f t="shared" si="15"/>
        <v xml:space="preserve">O                        </v>
      </c>
      <c r="AP136" s="29" t="s">
        <v>9</v>
      </c>
    </row>
    <row r="137" spans="2:42">
      <c r="B137" s="24">
        <v>123</v>
      </c>
      <c r="C137" s="24" t="str">
        <f t="shared" si="11"/>
        <v/>
      </c>
      <c r="D137" s="24" t="str">
        <f>IF(ISERROR(VLOOKUP(C137,Settings!A:B,2,FALSE)),C137,VLOOKUP(C137,Settings!A:B,2,FALSE))</f>
        <v/>
      </c>
      <c r="E137" s="30" t="str">
        <f t="shared" si="13"/>
        <v>H</v>
      </c>
      <c r="F137" s="24" t="str">
        <f t="shared" si="14"/>
        <v/>
      </c>
      <c r="G137" s="24" t="str">
        <f>IF(ISNA(VLOOKUP(F137,Settings!G:H,2,FALSE)),"",VLOOKUP(F137,Settings!G:H,2,FALSE))</f>
        <v/>
      </c>
      <c r="H137" s="25"/>
      <c r="AL137" s="29">
        <f t="shared" si="12"/>
        <v>3</v>
      </c>
      <c r="AM137" s="29"/>
      <c r="AN137" s="29" t="str">
        <f>IF(ISNA(VLOOKUP(AM137,Settings!G:H,2,FALSE)),"",VLOOKUP(AM137,Settings!G:H,2,FALSE))</f>
        <v/>
      </c>
      <c r="AO137" s="30" t="str">
        <f t="shared" si="15"/>
        <v xml:space="preserve">O                        </v>
      </c>
      <c r="AP137" s="29" t="s">
        <v>9</v>
      </c>
    </row>
    <row r="138" spans="2:42">
      <c r="B138" s="24">
        <v>124</v>
      </c>
      <c r="C138" s="24" t="str">
        <f t="shared" si="11"/>
        <v/>
      </c>
      <c r="D138" s="24" t="str">
        <f>IF(ISERROR(VLOOKUP(C138,Settings!A:B,2,FALSE)),C138,VLOOKUP(C138,Settings!A:B,2,FALSE))</f>
        <v/>
      </c>
      <c r="E138" s="30" t="str">
        <f t="shared" si="13"/>
        <v>H</v>
      </c>
      <c r="F138" s="24" t="str">
        <f t="shared" si="14"/>
        <v/>
      </c>
      <c r="G138" s="24" t="str">
        <f>IF(ISNA(VLOOKUP(F138,Settings!G:H,2,FALSE)),"",VLOOKUP(F138,Settings!G:H,2,FALSE))</f>
        <v/>
      </c>
      <c r="H138" s="25"/>
      <c r="AL138" s="29">
        <f t="shared" si="12"/>
        <v>4</v>
      </c>
      <c r="AM138" s="29"/>
      <c r="AN138" s="29" t="str">
        <f>IF(ISNA(VLOOKUP(AM138,Settings!G:H,2,FALSE)),"",VLOOKUP(AM138,Settings!G:H,2,FALSE))</f>
        <v/>
      </c>
      <c r="AO138" s="30" t="str">
        <f t="shared" si="15"/>
        <v xml:space="preserve">O                        </v>
      </c>
      <c r="AP138" s="29" t="s">
        <v>9</v>
      </c>
    </row>
    <row r="139" spans="2:42">
      <c r="B139" s="24">
        <v>125</v>
      </c>
      <c r="C139" s="24" t="str">
        <f t="shared" si="11"/>
        <v/>
      </c>
      <c r="D139" s="24" t="str">
        <f>IF(ISERROR(VLOOKUP(C139,Settings!A:B,2,FALSE)),C139,VLOOKUP(C139,Settings!A:B,2,FALSE))</f>
        <v/>
      </c>
      <c r="E139" s="30" t="str">
        <f t="shared" si="13"/>
        <v>H</v>
      </c>
      <c r="F139" s="24" t="str">
        <f t="shared" si="14"/>
        <v/>
      </c>
      <c r="G139" s="24" t="str">
        <f>IF(ISNA(VLOOKUP(F139,Settings!G:H,2,FALSE)),"",VLOOKUP(F139,Settings!G:H,2,FALSE))</f>
        <v/>
      </c>
      <c r="H139" s="25"/>
      <c r="AL139" s="29">
        <f t="shared" si="12"/>
        <v>5</v>
      </c>
      <c r="AM139" s="29"/>
      <c r="AN139" s="29" t="str">
        <f>IF(ISNA(VLOOKUP(AM139,Settings!G:H,2,FALSE)),"",VLOOKUP(AM139,Settings!G:H,2,FALSE))</f>
        <v/>
      </c>
      <c r="AO139" s="30" t="str">
        <f t="shared" si="15"/>
        <v xml:space="preserve">O                        </v>
      </c>
      <c r="AP139" s="29" t="s">
        <v>9</v>
      </c>
    </row>
    <row r="140" spans="2:42">
      <c r="B140" s="24">
        <v>126</v>
      </c>
      <c r="C140" s="24" t="str">
        <f t="shared" si="11"/>
        <v/>
      </c>
      <c r="D140" s="24" t="str">
        <f>IF(ISERROR(VLOOKUP(C140,Settings!A:B,2,FALSE)),C140,VLOOKUP(C140,Settings!A:B,2,FALSE))</f>
        <v/>
      </c>
      <c r="E140" s="30" t="str">
        <f t="shared" si="13"/>
        <v>H</v>
      </c>
      <c r="F140" s="24" t="str">
        <f t="shared" si="14"/>
        <v/>
      </c>
      <c r="G140" s="24" t="str">
        <f>IF(ISNA(VLOOKUP(F140,Settings!G:H,2,FALSE)),"",VLOOKUP(F140,Settings!G:H,2,FALSE))</f>
        <v/>
      </c>
      <c r="H140" s="25"/>
      <c r="AL140" s="29">
        <f t="shared" si="12"/>
        <v>1</v>
      </c>
      <c r="AM140" s="29"/>
      <c r="AN140" s="29" t="str">
        <f>IF(ISNA(VLOOKUP(AM140,Settings!G:H,2,FALSE)),"",VLOOKUP(AM140,Settings!G:H,2,FALSE))</f>
        <v/>
      </c>
      <c r="AO140" s="30" t="str">
        <f t="shared" si="15"/>
        <v xml:space="preserve">O                         </v>
      </c>
      <c r="AP140" s="29" t="s">
        <v>9</v>
      </c>
    </row>
    <row r="141" spans="2:42">
      <c r="B141" s="24">
        <v>127</v>
      </c>
      <c r="C141" s="24" t="str">
        <f t="shared" si="11"/>
        <v/>
      </c>
      <c r="D141" s="24" t="str">
        <f>IF(ISERROR(VLOOKUP(C141,Settings!A:B,2,FALSE)),C141,VLOOKUP(C141,Settings!A:B,2,FALSE))</f>
        <v/>
      </c>
      <c r="E141" s="30" t="str">
        <f t="shared" si="13"/>
        <v>H</v>
      </c>
      <c r="F141" s="24" t="str">
        <f t="shared" si="14"/>
        <v/>
      </c>
      <c r="G141" s="24" t="str">
        <f>IF(ISNA(VLOOKUP(F141,Settings!G:H,2,FALSE)),"",VLOOKUP(F141,Settings!G:H,2,FALSE))</f>
        <v/>
      </c>
      <c r="H141" s="25"/>
      <c r="AL141" s="29">
        <f t="shared" si="12"/>
        <v>2</v>
      </c>
      <c r="AM141" s="29"/>
      <c r="AN141" s="29" t="str">
        <f>IF(ISNA(VLOOKUP(AM141,Settings!G:H,2,FALSE)),"",VLOOKUP(AM141,Settings!G:H,2,FALSE))</f>
        <v/>
      </c>
      <c r="AO141" s="30" t="str">
        <f t="shared" si="15"/>
        <v xml:space="preserve">O                         </v>
      </c>
      <c r="AP141" s="29" t="s">
        <v>9</v>
      </c>
    </row>
    <row r="142" spans="2:42">
      <c r="B142" s="24">
        <v>128</v>
      </c>
      <c r="C142" s="24" t="str">
        <f t="shared" si="11"/>
        <v/>
      </c>
      <c r="D142" s="24" t="str">
        <f>IF(ISERROR(VLOOKUP(C142,Settings!A:B,2,FALSE)),C142,VLOOKUP(C142,Settings!A:B,2,FALSE))</f>
        <v/>
      </c>
      <c r="E142" s="30" t="str">
        <f t="shared" si="13"/>
        <v>H</v>
      </c>
      <c r="F142" s="24" t="str">
        <f t="shared" si="14"/>
        <v/>
      </c>
      <c r="G142" s="24" t="str">
        <f>IF(ISNA(VLOOKUP(F142,Settings!G:H,2,FALSE)),"",VLOOKUP(F142,Settings!G:H,2,FALSE))</f>
        <v/>
      </c>
      <c r="H142" s="25"/>
      <c r="AL142" s="29">
        <f t="shared" si="12"/>
        <v>3</v>
      </c>
      <c r="AM142" s="29"/>
      <c r="AN142" s="29" t="str">
        <f>IF(ISNA(VLOOKUP(AM142,Settings!G:H,2,FALSE)),"",VLOOKUP(AM142,Settings!G:H,2,FALSE))</f>
        <v/>
      </c>
      <c r="AO142" s="30" t="str">
        <f t="shared" si="15"/>
        <v xml:space="preserve">O                         </v>
      </c>
      <c r="AP142" s="29" t="s">
        <v>9</v>
      </c>
    </row>
    <row r="143" spans="2:42">
      <c r="B143" s="24">
        <v>129</v>
      </c>
      <c r="C143" s="24" t="str">
        <f t="shared" si="11"/>
        <v/>
      </c>
      <c r="D143" s="24" t="str">
        <f>IF(ISERROR(VLOOKUP(C143,Settings!A:B,2,FALSE)),C143,VLOOKUP(C143,Settings!A:B,2,FALSE))</f>
        <v/>
      </c>
      <c r="E143" s="30" t="str">
        <f t="shared" si="13"/>
        <v>H</v>
      </c>
      <c r="F143" s="24" t="str">
        <f t="shared" si="14"/>
        <v/>
      </c>
      <c r="G143" s="24" t="str">
        <f>IF(ISNA(VLOOKUP(F143,Settings!G:H,2,FALSE)),"",VLOOKUP(F143,Settings!G:H,2,FALSE))</f>
        <v/>
      </c>
      <c r="H143" s="25"/>
      <c r="AL143" s="29">
        <f t="shared" si="12"/>
        <v>4</v>
      </c>
      <c r="AM143" s="29"/>
      <c r="AN143" s="29" t="str">
        <f>IF(ISNA(VLOOKUP(AM143,Settings!G:H,2,FALSE)),"",VLOOKUP(AM143,Settings!G:H,2,FALSE))</f>
        <v/>
      </c>
      <c r="AO143" s="30" t="str">
        <f t="shared" si="15"/>
        <v xml:space="preserve">O                         </v>
      </c>
      <c r="AP143" s="29" t="s">
        <v>9</v>
      </c>
    </row>
    <row r="144" spans="2:42">
      <c r="B144" s="24">
        <v>130</v>
      </c>
      <c r="C144" s="24" t="str">
        <f t="shared" ref="C144:C207" si="16">MID(Inputtext,B144,1)</f>
        <v/>
      </c>
      <c r="D144" s="24" t="str">
        <f>IF(ISERROR(VLOOKUP(C144,Settings!A:B,2,FALSE)),C144,VLOOKUP(C144,Settings!A:B,2,FALSE))</f>
        <v/>
      </c>
      <c r="E144" s="30" t="str">
        <f t="shared" si="13"/>
        <v>H</v>
      </c>
      <c r="F144" s="24" t="str">
        <f t="shared" si="14"/>
        <v/>
      </c>
      <c r="G144" s="24" t="str">
        <f>IF(ISNA(VLOOKUP(F144,Settings!G:H,2,FALSE)),"",VLOOKUP(F144,Settings!G:H,2,FALSE))</f>
        <v/>
      </c>
      <c r="H144" s="25"/>
      <c r="AL144" s="29">
        <f t="shared" ref="AL144:AL207" si="17">IF(AL143=5,1,AL143+1)</f>
        <v>5</v>
      </c>
      <c r="AM144" s="29"/>
      <c r="AN144" s="29" t="str">
        <f>IF(ISNA(VLOOKUP(AM144,Settings!G:H,2,FALSE)),"",VLOOKUP(AM144,Settings!G:H,2,FALSE))</f>
        <v/>
      </c>
      <c r="AO144" s="30" t="str">
        <f t="shared" si="15"/>
        <v xml:space="preserve">O                         </v>
      </c>
      <c r="AP144" s="29" t="s">
        <v>9</v>
      </c>
    </row>
    <row r="145" spans="2:42">
      <c r="B145" s="24">
        <v>131</v>
      </c>
      <c r="C145" s="24" t="str">
        <f t="shared" si="16"/>
        <v/>
      </c>
      <c r="D145" s="24" t="str">
        <f>IF(ISERROR(VLOOKUP(C145,Settings!A:B,2,FALSE)),C145,VLOOKUP(C145,Settings!A:B,2,FALSE))</f>
        <v/>
      </c>
      <c r="E145" s="30" t="str">
        <f t="shared" ref="E145:E208" si="18">E144&amp;UPPER(D145)</f>
        <v>H</v>
      </c>
      <c r="F145" s="24" t="str">
        <f t="shared" ref="F145:F208" si="19">MID($E$514,B145,1)</f>
        <v/>
      </c>
      <c r="G145" s="24" t="str">
        <f>IF(ISNA(VLOOKUP(F145,Settings!G:H,2,FALSE)),"",VLOOKUP(F145,Settings!G:H,2,FALSE))</f>
        <v/>
      </c>
      <c r="H145" s="25"/>
      <c r="AL145" s="29">
        <f t="shared" si="17"/>
        <v>1</v>
      </c>
      <c r="AM145" s="29"/>
      <c r="AN145" s="29" t="str">
        <f>IF(ISNA(VLOOKUP(AM145,Settings!G:H,2,FALSE)),"",VLOOKUP(AM145,Settings!G:H,2,FALSE))</f>
        <v/>
      </c>
      <c r="AO145" s="30" t="str">
        <f t="shared" ref="AO145:AO208" si="20">IF(AL145=1,AO144&amp;" "&amp;AN145,AO144&amp;AN145)</f>
        <v xml:space="preserve">O                          </v>
      </c>
      <c r="AP145" s="29" t="s">
        <v>9</v>
      </c>
    </row>
    <row r="146" spans="2:42">
      <c r="B146" s="24">
        <v>132</v>
      </c>
      <c r="C146" s="24" t="str">
        <f t="shared" si="16"/>
        <v/>
      </c>
      <c r="D146" s="24" t="str">
        <f>IF(ISERROR(VLOOKUP(C146,Settings!A:B,2,FALSE)),C146,VLOOKUP(C146,Settings!A:B,2,FALSE))</f>
        <v/>
      </c>
      <c r="E146" s="30" t="str">
        <f t="shared" si="18"/>
        <v>H</v>
      </c>
      <c r="F146" s="24" t="str">
        <f t="shared" si="19"/>
        <v/>
      </c>
      <c r="G146" s="24" t="str">
        <f>IF(ISNA(VLOOKUP(F146,Settings!G:H,2,FALSE)),"",VLOOKUP(F146,Settings!G:H,2,FALSE))</f>
        <v/>
      </c>
      <c r="H146" s="25"/>
      <c r="AL146" s="29">
        <f t="shared" si="17"/>
        <v>2</v>
      </c>
      <c r="AM146" s="29"/>
      <c r="AN146" s="29" t="str">
        <f>IF(ISNA(VLOOKUP(AM146,Settings!G:H,2,FALSE)),"",VLOOKUP(AM146,Settings!G:H,2,FALSE))</f>
        <v/>
      </c>
      <c r="AO146" s="30" t="str">
        <f t="shared" si="20"/>
        <v xml:space="preserve">O                          </v>
      </c>
      <c r="AP146" s="29" t="s">
        <v>9</v>
      </c>
    </row>
    <row r="147" spans="2:42">
      <c r="B147" s="24">
        <v>133</v>
      </c>
      <c r="C147" s="24" t="str">
        <f t="shared" si="16"/>
        <v/>
      </c>
      <c r="D147" s="24" t="str">
        <f>IF(ISERROR(VLOOKUP(C147,Settings!A:B,2,FALSE)),C147,VLOOKUP(C147,Settings!A:B,2,FALSE))</f>
        <v/>
      </c>
      <c r="E147" s="30" t="str">
        <f t="shared" si="18"/>
        <v>H</v>
      </c>
      <c r="F147" s="24" t="str">
        <f t="shared" si="19"/>
        <v/>
      </c>
      <c r="G147" s="24" t="str">
        <f>IF(ISNA(VLOOKUP(F147,Settings!G:H,2,FALSE)),"",VLOOKUP(F147,Settings!G:H,2,FALSE))</f>
        <v/>
      </c>
      <c r="H147" s="25"/>
      <c r="AL147" s="29">
        <f t="shared" si="17"/>
        <v>3</v>
      </c>
      <c r="AM147" s="29"/>
      <c r="AN147" s="29" t="str">
        <f>IF(ISNA(VLOOKUP(AM147,Settings!G:H,2,FALSE)),"",VLOOKUP(AM147,Settings!G:H,2,FALSE))</f>
        <v/>
      </c>
      <c r="AO147" s="30" t="str">
        <f t="shared" si="20"/>
        <v xml:space="preserve">O                          </v>
      </c>
      <c r="AP147" s="29" t="s">
        <v>9</v>
      </c>
    </row>
    <row r="148" spans="2:42">
      <c r="B148" s="24">
        <v>134</v>
      </c>
      <c r="C148" s="24" t="str">
        <f t="shared" si="16"/>
        <v/>
      </c>
      <c r="D148" s="24" t="str">
        <f>IF(ISERROR(VLOOKUP(C148,Settings!A:B,2,FALSE)),C148,VLOOKUP(C148,Settings!A:B,2,FALSE))</f>
        <v/>
      </c>
      <c r="E148" s="30" t="str">
        <f t="shared" si="18"/>
        <v>H</v>
      </c>
      <c r="F148" s="24" t="str">
        <f t="shared" si="19"/>
        <v/>
      </c>
      <c r="G148" s="24" t="str">
        <f>IF(ISNA(VLOOKUP(F148,Settings!G:H,2,FALSE)),"",VLOOKUP(F148,Settings!G:H,2,FALSE))</f>
        <v/>
      </c>
      <c r="H148" s="25"/>
      <c r="AL148" s="29">
        <f t="shared" si="17"/>
        <v>4</v>
      </c>
      <c r="AM148" s="29"/>
      <c r="AN148" s="29" t="str">
        <f>IF(ISNA(VLOOKUP(AM148,Settings!G:H,2,FALSE)),"",VLOOKUP(AM148,Settings!G:H,2,FALSE))</f>
        <v/>
      </c>
      <c r="AO148" s="30" t="str">
        <f t="shared" si="20"/>
        <v xml:space="preserve">O                          </v>
      </c>
      <c r="AP148" s="29" t="s">
        <v>9</v>
      </c>
    </row>
    <row r="149" spans="2:42">
      <c r="B149" s="24">
        <v>135</v>
      </c>
      <c r="C149" s="24" t="str">
        <f t="shared" si="16"/>
        <v/>
      </c>
      <c r="D149" s="24" t="str">
        <f>IF(ISERROR(VLOOKUP(C149,Settings!A:B,2,FALSE)),C149,VLOOKUP(C149,Settings!A:B,2,FALSE))</f>
        <v/>
      </c>
      <c r="E149" s="30" t="str">
        <f t="shared" si="18"/>
        <v>H</v>
      </c>
      <c r="F149" s="24" t="str">
        <f t="shared" si="19"/>
        <v/>
      </c>
      <c r="G149" s="24" t="str">
        <f>IF(ISNA(VLOOKUP(F149,Settings!G:H,2,FALSE)),"",VLOOKUP(F149,Settings!G:H,2,FALSE))</f>
        <v/>
      </c>
      <c r="H149" s="25"/>
      <c r="AL149" s="29">
        <f t="shared" si="17"/>
        <v>5</v>
      </c>
      <c r="AM149" s="29"/>
      <c r="AN149" s="29" t="str">
        <f>IF(ISNA(VLOOKUP(AM149,Settings!G:H,2,FALSE)),"",VLOOKUP(AM149,Settings!G:H,2,FALSE))</f>
        <v/>
      </c>
      <c r="AO149" s="30" t="str">
        <f t="shared" si="20"/>
        <v xml:space="preserve">O                          </v>
      </c>
      <c r="AP149" s="29" t="s">
        <v>9</v>
      </c>
    </row>
    <row r="150" spans="2:42">
      <c r="B150" s="24">
        <v>136</v>
      </c>
      <c r="C150" s="24" t="str">
        <f t="shared" si="16"/>
        <v/>
      </c>
      <c r="D150" s="24" t="str">
        <f>IF(ISERROR(VLOOKUP(C150,Settings!A:B,2,FALSE)),C150,VLOOKUP(C150,Settings!A:B,2,FALSE))</f>
        <v/>
      </c>
      <c r="E150" s="30" t="str">
        <f t="shared" si="18"/>
        <v>H</v>
      </c>
      <c r="F150" s="24" t="str">
        <f t="shared" si="19"/>
        <v/>
      </c>
      <c r="G150" s="24" t="str">
        <f>IF(ISNA(VLOOKUP(F150,Settings!G:H,2,FALSE)),"",VLOOKUP(F150,Settings!G:H,2,FALSE))</f>
        <v/>
      </c>
      <c r="H150" s="25"/>
      <c r="AL150" s="29">
        <f t="shared" si="17"/>
        <v>1</v>
      </c>
      <c r="AM150" s="29"/>
      <c r="AN150" s="29" t="str">
        <f>IF(ISNA(VLOOKUP(AM150,Settings!G:H,2,FALSE)),"",VLOOKUP(AM150,Settings!G:H,2,FALSE))</f>
        <v/>
      </c>
      <c r="AO150" s="30" t="str">
        <f t="shared" si="20"/>
        <v xml:space="preserve">O                           </v>
      </c>
      <c r="AP150" s="29" t="s">
        <v>9</v>
      </c>
    </row>
    <row r="151" spans="2:42">
      <c r="B151" s="24">
        <v>137</v>
      </c>
      <c r="C151" s="24" t="str">
        <f t="shared" si="16"/>
        <v/>
      </c>
      <c r="D151" s="24" t="str">
        <f>IF(ISERROR(VLOOKUP(C151,Settings!A:B,2,FALSE)),C151,VLOOKUP(C151,Settings!A:B,2,FALSE))</f>
        <v/>
      </c>
      <c r="E151" s="30" t="str">
        <f t="shared" si="18"/>
        <v>H</v>
      </c>
      <c r="F151" s="24" t="str">
        <f t="shared" si="19"/>
        <v/>
      </c>
      <c r="G151" s="24" t="str">
        <f>IF(ISNA(VLOOKUP(F151,Settings!G:H,2,FALSE)),"",VLOOKUP(F151,Settings!G:H,2,FALSE))</f>
        <v/>
      </c>
      <c r="H151" s="25"/>
      <c r="AL151" s="29">
        <f t="shared" si="17"/>
        <v>2</v>
      </c>
      <c r="AM151" s="29"/>
      <c r="AN151" s="29" t="str">
        <f>IF(ISNA(VLOOKUP(AM151,Settings!G:H,2,FALSE)),"",VLOOKUP(AM151,Settings!G:H,2,FALSE))</f>
        <v/>
      </c>
      <c r="AO151" s="30" t="str">
        <f t="shared" si="20"/>
        <v xml:space="preserve">O                           </v>
      </c>
      <c r="AP151" s="29" t="s">
        <v>9</v>
      </c>
    </row>
    <row r="152" spans="2:42">
      <c r="B152" s="24">
        <v>138</v>
      </c>
      <c r="C152" s="24" t="str">
        <f t="shared" si="16"/>
        <v/>
      </c>
      <c r="D152" s="24" t="str">
        <f>IF(ISERROR(VLOOKUP(C152,Settings!A:B,2,FALSE)),C152,VLOOKUP(C152,Settings!A:B,2,FALSE))</f>
        <v/>
      </c>
      <c r="E152" s="30" t="str">
        <f t="shared" si="18"/>
        <v>H</v>
      </c>
      <c r="F152" s="24" t="str">
        <f t="shared" si="19"/>
        <v/>
      </c>
      <c r="G152" s="24" t="str">
        <f>IF(ISNA(VLOOKUP(F152,Settings!G:H,2,FALSE)),"",VLOOKUP(F152,Settings!G:H,2,FALSE))</f>
        <v/>
      </c>
      <c r="H152" s="25"/>
      <c r="AL152" s="29">
        <f t="shared" si="17"/>
        <v>3</v>
      </c>
      <c r="AM152" s="29"/>
      <c r="AN152" s="29" t="str">
        <f>IF(ISNA(VLOOKUP(AM152,Settings!G:H,2,FALSE)),"",VLOOKUP(AM152,Settings!G:H,2,FALSE))</f>
        <v/>
      </c>
      <c r="AO152" s="30" t="str">
        <f t="shared" si="20"/>
        <v xml:space="preserve">O                           </v>
      </c>
      <c r="AP152" s="29" t="s">
        <v>9</v>
      </c>
    </row>
    <row r="153" spans="2:42">
      <c r="B153" s="24">
        <v>139</v>
      </c>
      <c r="C153" s="24" t="str">
        <f t="shared" si="16"/>
        <v/>
      </c>
      <c r="D153" s="24" t="str">
        <f>IF(ISERROR(VLOOKUP(C153,Settings!A:B,2,FALSE)),C153,VLOOKUP(C153,Settings!A:B,2,FALSE))</f>
        <v/>
      </c>
      <c r="E153" s="30" t="str">
        <f t="shared" si="18"/>
        <v>H</v>
      </c>
      <c r="F153" s="24" t="str">
        <f t="shared" si="19"/>
        <v/>
      </c>
      <c r="G153" s="24" t="str">
        <f>IF(ISNA(VLOOKUP(F153,Settings!G:H,2,FALSE)),"",VLOOKUP(F153,Settings!G:H,2,FALSE))</f>
        <v/>
      </c>
      <c r="H153" s="25"/>
      <c r="AL153" s="29">
        <f t="shared" si="17"/>
        <v>4</v>
      </c>
      <c r="AM153" s="29"/>
      <c r="AN153" s="29" t="str">
        <f>IF(ISNA(VLOOKUP(AM153,Settings!G:H,2,FALSE)),"",VLOOKUP(AM153,Settings!G:H,2,FALSE))</f>
        <v/>
      </c>
      <c r="AO153" s="30" t="str">
        <f t="shared" si="20"/>
        <v xml:space="preserve">O                           </v>
      </c>
      <c r="AP153" s="29" t="s">
        <v>9</v>
      </c>
    </row>
    <row r="154" spans="2:42">
      <c r="B154" s="24">
        <v>140</v>
      </c>
      <c r="C154" s="24" t="str">
        <f t="shared" si="16"/>
        <v/>
      </c>
      <c r="D154" s="24" t="str">
        <f>IF(ISERROR(VLOOKUP(C154,Settings!A:B,2,FALSE)),C154,VLOOKUP(C154,Settings!A:B,2,FALSE))</f>
        <v/>
      </c>
      <c r="E154" s="30" t="str">
        <f t="shared" si="18"/>
        <v>H</v>
      </c>
      <c r="F154" s="24" t="str">
        <f t="shared" si="19"/>
        <v/>
      </c>
      <c r="G154" s="24" t="str">
        <f>IF(ISNA(VLOOKUP(F154,Settings!G:H,2,FALSE)),"",VLOOKUP(F154,Settings!G:H,2,FALSE))</f>
        <v/>
      </c>
      <c r="H154" s="25"/>
      <c r="AL154" s="29">
        <f t="shared" si="17"/>
        <v>5</v>
      </c>
      <c r="AM154" s="29"/>
      <c r="AN154" s="29" t="str">
        <f>IF(ISNA(VLOOKUP(AM154,Settings!G:H,2,FALSE)),"",VLOOKUP(AM154,Settings!G:H,2,FALSE))</f>
        <v/>
      </c>
      <c r="AO154" s="30" t="str">
        <f t="shared" si="20"/>
        <v xml:space="preserve">O                           </v>
      </c>
      <c r="AP154" s="29" t="s">
        <v>9</v>
      </c>
    </row>
    <row r="155" spans="2:42">
      <c r="B155" s="24">
        <v>141</v>
      </c>
      <c r="C155" s="24" t="str">
        <f t="shared" si="16"/>
        <v/>
      </c>
      <c r="D155" s="24" t="str">
        <f>IF(ISERROR(VLOOKUP(C155,Settings!A:B,2,FALSE)),C155,VLOOKUP(C155,Settings!A:B,2,FALSE))</f>
        <v/>
      </c>
      <c r="E155" s="30" t="str">
        <f t="shared" si="18"/>
        <v>H</v>
      </c>
      <c r="F155" s="24" t="str">
        <f t="shared" si="19"/>
        <v/>
      </c>
      <c r="G155" s="24" t="str">
        <f>IF(ISNA(VLOOKUP(F155,Settings!G:H,2,FALSE)),"",VLOOKUP(F155,Settings!G:H,2,FALSE))</f>
        <v/>
      </c>
      <c r="H155" s="25"/>
      <c r="AL155" s="29">
        <f t="shared" si="17"/>
        <v>1</v>
      </c>
      <c r="AM155" s="29"/>
      <c r="AN155" s="29" t="str">
        <f>IF(ISNA(VLOOKUP(AM155,Settings!G:H,2,FALSE)),"",VLOOKUP(AM155,Settings!G:H,2,FALSE))</f>
        <v/>
      </c>
      <c r="AO155" s="30" t="str">
        <f t="shared" si="20"/>
        <v xml:space="preserve">O                            </v>
      </c>
      <c r="AP155" s="29" t="s">
        <v>9</v>
      </c>
    </row>
    <row r="156" spans="2:42">
      <c r="B156" s="24">
        <v>142</v>
      </c>
      <c r="C156" s="24" t="str">
        <f t="shared" si="16"/>
        <v/>
      </c>
      <c r="D156" s="24" t="str">
        <f>IF(ISERROR(VLOOKUP(C156,Settings!A:B,2,FALSE)),C156,VLOOKUP(C156,Settings!A:B,2,FALSE))</f>
        <v/>
      </c>
      <c r="E156" s="30" t="str">
        <f t="shared" si="18"/>
        <v>H</v>
      </c>
      <c r="F156" s="24" t="str">
        <f t="shared" si="19"/>
        <v/>
      </c>
      <c r="G156" s="24" t="str">
        <f>IF(ISNA(VLOOKUP(F156,Settings!G:H,2,FALSE)),"",VLOOKUP(F156,Settings!G:H,2,FALSE))</f>
        <v/>
      </c>
      <c r="H156" s="25"/>
      <c r="AL156" s="29">
        <f t="shared" si="17"/>
        <v>2</v>
      </c>
      <c r="AM156" s="29"/>
      <c r="AN156" s="29" t="str">
        <f>IF(ISNA(VLOOKUP(AM156,Settings!G:H,2,FALSE)),"",VLOOKUP(AM156,Settings!G:H,2,FALSE))</f>
        <v/>
      </c>
      <c r="AO156" s="30" t="str">
        <f t="shared" si="20"/>
        <v xml:space="preserve">O                            </v>
      </c>
      <c r="AP156" s="29" t="s">
        <v>9</v>
      </c>
    </row>
    <row r="157" spans="2:42">
      <c r="B157" s="24">
        <v>143</v>
      </c>
      <c r="C157" s="24" t="str">
        <f t="shared" si="16"/>
        <v/>
      </c>
      <c r="D157" s="24" t="str">
        <f>IF(ISERROR(VLOOKUP(C157,Settings!A:B,2,FALSE)),C157,VLOOKUP(C157,Settings!A:B,2,FALSE))</f>
        <v/>
      </c>
      <c r="E157" s="30" t="str">
        <f t="shared" si="18"/>
        <v>H</v>
      </c>
      <c r="F157" s="24" t="str">
        <f t="shared" si="19"/>
        <v/>
      </c>
      <c r="G157" s="24" t="str">
        <f>IF(ISNA(VLOOKUP(F157,Settings!G:H,2,FALSE)),"",VLOOKUP(F157,Settings!G:H,2,FALSE))</f>
        <v/>
      </c>
      <c r="H157" s="25"/>
      <c r="AL157" s="29">
        <f t="shared" si="17"/>
        <v>3</v>
      </c>
      <c r="AM157" s="29"/>
      <c r="AN157" s="29" t="str">
        <f>IF(ISNA(VLOOKUP(AM157,Settings!G:H,2,FALSE)),"",VLOOKUP(AM157,Settings!G:H,2,FALSE))</f>
        <v/>
      </c>
      <c r="AO157" s="30" t="str">
        <f t="shared" si="20"/>
        <v xml:space="preserve">O                            </v>
      </c>
      <c r="AP157" s="29" t="s">
        <v>9</v>
      </c>
    </row>
    <row r="158" spans="2:42">
      <c r="B158" s="24">
        <v>144</v>
      </c>
      <c r="C158" s="24" t="str">
        <f t="shared" si="16"/>
        <v/>
      </c>
      <c r="D158" s="24" t="str">
        <f>IF(ISERROR(VLOOKUP(C158,Settings!A:B,2,FALSE)),C158,VLOOKUP(C158,Settings!A:B,2,FALSE))</f>
        <v/>
      </c>
      <c r="E158" s="30" t="str">
        <f t="shared" si="18"/>
        <v>H</v>
      </c>
      <c r="F158" s="24" t="str">
        <f t="shared" si="19"/>
        <v/>
      </c>
      <c r="G158" s="24" t="str">
        <f>IF(ISNA(VLOOKUP(F158,Settings!G:H,2,FALSE)),"",VLOOKUP(F158,Settings!G:H,2,FALSE))</f>
        <v/>
      </c>
      <c r="H158" s="25"/>
      <c r="AL158" s="29">
        <f t="shared" si="17"/>
        <v>4</v>
      </c>
      <c r="AM158" s="29"/>
      <c r="AN158" s="29" t="str">
        <f>IF(ISNA(VLOOKUP(AM158,Settings!G:H,2,FALSE)),"",VLOOKUP(AM158,Settings!G:H,2,FALSE))</f>
        <v/>
      </c>
      <c r="AO158" s="30" t="str">
        <f t="shared" si="20"/>
        <v xml:space="preserve">O                            </v>
      </c>
      <c r="AP158" s="29" t="s">
        <v>9</v>
      </c>
    </row>
    <row r="159" spans="2:42">
      <c r="B159" s="24">
        <v>145</v>
      </c>
      <c r="C159" s="24" t="str">
        <f t="shared" si="16"/>
        <v/>
      </c>
      <c r="D159" s="24" t="str">
        <f>IF(ISERROR(VLOOKUP(C159,Settings!A:B,2,FALSE)),C159,VLOOKUP(C159,Settings!A:B,2,FALSE))</f>
        <v/>
      </c>
      <c r="E159" s="30" t="str">
        <f t="shared" si="18"/>
        <v>H</v>
      </c>
      <c r="F159" s="24" t="str">
        <f t="shared" si="19"/>
        <v/>
      </c>
      <c r="G159" s="24" t="str">
        <f>IF(ISNA(VLOOKUP(F159,Settings!G:H,2,FALSE)),"",VLOOKUP(F159,Settings!G:H,2,FALSE))</f>
        <v/>
      </c>
      <c r="H159" s="25"/>
      <c r="AL159" s="29">
        <f t="shared" si="17"/>
        <v>5</v>
      </c>
      <c r="AM159" s="29"/>
      <c r="AN159" s="29" t="str">
        <f>IF(ISNA(VLOOKUP(AM159,Settings!G:H,2,FALSE)),"",VLOOKUP(AM159,Settings!G:H,2,FALSE))</f>
        <v/>
      </c>
      <c r="AO159" s="30" t="str">
        <f t="shared" si="20"/>
        <v xml:space="preserve">O                            </v>
      </c>
      <c r="AP159" s="29" t="s">
        <v>9</v>
      </c>
    </row>
    <row r="160" spans="2:42">
      <c r="B160" s="24">
        <v>146</v>
      </c>
      <c r="C160" s="24" t="str">
        <f t="shared" si="16"/>
        <v/>
      </c>
      <c r="D160" s="24" t="str">
        <f>IF(ISERROR(VLOOKUP(C160,Settings!A:B,2,FALSE)),C160,VLOOKUP(C160,Settings!A:B,2,FALSE))</f>
        <v/>
      </c>
      <c r="E160" s="30" t="str">
        <f t="shared" si="18"/>
        <v>H</v>
      </c>
      <c r="F160" s="24" t="str">
        <f t="shared" si="19"/>
        <v/>
      </c>
      <c r="G160" s="24" t="str">
        <f>IF(ISNA(VLOOKUP(F160,Settings!G:H,2,FALSE)),"",VLOOKUP(F160,Settings!G:H,2,FALSE))</f>
        <v/>
      </c>
      <c r="H160" s="25"/>
      <c r="AL160" s="29">
        <f t="shared" si="17"/>
        <v>1</v>
      </c>
      <c r="AM160" s="29"/>
      <c r="AN160" s="29" t="str">
        <f>IF(ISNA(VLOOKUP(AM160,Settings!G:H,2,FALSE)),"",VLOOKUP(AM160,Settings!G:H,2,FALSE))</f>
        <v/>
      </c>
      <c r="AO160" s="30" t="str">
        <f t="shared" si="20"/>
        <v xml:space="preserve">O                             </v>
      </c>
      <c r="AP160" s="29" t="s">
        <v>9</v>
      </c>
    </row>
    <row r="161" spans="2:42">
      <c r="B161" s="24">
        <v>147</v>
      </c>
      <c r="C161" s="24" t="str">
        <f t="shared" si="16"/>
        <v/>
      </c>
      <c r="D161" s="24" t="str">
        <f>IF(ISERROR(VLOOKUP(C161,Settings!A:B,2,FALSE)),C161,VLOOKUP(C161,Settings!A:B,2,FALSE))</f>
        <v/>
      </c>
      <c r="E161" s="30" t="str">
        <f t="shared" si="18"/>
        <v>H</v>
      </c>
      <c r="F161" s="24" t="str">
        <f t="shared" si="19"/>
        <v/>
      </c>
      <c r="G161" s="24" t="str">
        <f>IF(ISNA(VLOOKUP(F161,Settings!G:H,2,FALSE)),"",VLOOKUP(F161,Settings!G:H,2,FALSE))</f>
        <v/>
      </c>
      <c r="H161" s="25"/>
      <c r="AL161" s="29">
        <f t="shared" si="17"/>
        <v>2</v>
      </c>
      <c r="AM161" s="29"/>
      <c r="AN161" s="29" t="str">
        <f>IF(ISNA(VLOOKUP(AM161,Settings!G:H,2,FALSE)),"",VLOOKUP(AM161,Settings!G:H,2,FALSE))</f>
        <v/>
      </c>
      <c r="AO161" s="30" t="str">
        <f t="shared" si="20"/>
        <v xml:space="preserve">O                             </v>
      </c>
      <c r="AP161" s="29" t="s">
        <v>9</v>
      </c>
    </row>
    <row r="162" spans="2:42">
      <c r="B162" s="24">
        <v>148</v>
      </c>
      <c r="C162" s="24" t="str">
        <f t="shared" si="16"/>
        <v/>
      </c>
      <c r="D162" s="24" t="str">
        <f>IF(ISERROR(VLOOKUP(C162,Settings!A:B,2,FALSE)),C162,VLOOKUP(C162,Settings!A:B,2,FALSE))</f>
        <v/>
      </c>
      <c r="E162" s="30" t="str">
        <f t="shared" si="18"/>
        <v>H</v>
      </c>
      <c r="F162" s="24" t="str">
        <f t="shared" si="19"/>
        <v/>
      </c>
      <c r="G162" s="24" t="str">
        <f>IF(ISNA(VLOOKUP(F162,Settings!G:H,2,FALSE)),"",VLOOKUP(F162,Settings!G:H,2,FALSE))</f>
        <v/>
      </c>
      <c r="H162" s="25"/>
      <c r="AL162" s="29">
        <f t="shared" si="17"/>
        <v>3</v>
      </c>
      <c r="AM162" s="29"/>
      <c r="AN162" s="29" t="str">
        <f>IF(ISNA(VLOOKUP(AM162,Settings!G:H,2,FALSE)),"",VLOOKUP(AM162,Settings!G:H,2,FALSE))</f>
        <v/>
      </c>
      <c r="AO162" s="30" t="str">
        <f t="shared" si="20"/>
        <v xml:space="preserve">O                             </v>
      </c>
      <c r="AP162" s="29" t="s">
        <v>9</v>
      </c>
    </row>
    <row r="163" spans="2:42">
      <c r="B163" s="24">
        <v>149</v>
      </c>
      <c r="C163" s="24" t="str">
        <f t="shared" si="16"/>
        <v/>
      </c>
      <c r="D163" s="24" t="str">
        <f>IF(ISERROR(VLOOKUP(C163,Settings!A:B,2,FALSE)),C163,VLOOKUP(C163,Settings!A:B,2,FALSE))</f>
        <v/>
      </c>
      <c r="E163" s="30" t="str">
        <f t="shared" si="18"/>
        <v>H</v>
      </c>
      <c r="F163" s="24" t="str">
        <f t="shared" si="19"/>
        <v/>
      </c>
      <c r="G163" s="24" t="str">
        <f>IF(ISNA(VLOOKUP(F163,Settings!G:H,2,FALSE)),"",VLOOKUP(F163,Settings!G:H,2,FALSE))</f>
        <v/>
      </c>
      <c r="H163" s="25"/>
      <c r="AL163" s="29">
        <f t="shared" si="17"/>
        <v>4</v>
      </c>
      <c r="AM163" s="29"/>
      <c r="AN163" s="29" t="str">
        <f>IF(ISNA(VLOOKUP(AM163,Settings!G:H,2,FALSE)),"",VLOOKUP(AM163,Settings!G:H,2,FALSE))</f>
        <v/>
      </c>
      <c r="AO163" s="30" t="str">
        <f t="shared" si="20"/>
        <v xml:space="preserve">O                             </v>
      </c>
      <c r="AP163" s="29" t="s">
        <v>9</v>
      </c>
    </row>
    <row r="164" spans="2:42">
      <c r="B164" s="24">
        <v>150</v>
      </c>
      <c r="C164" s="24" t="str">
        <f t="shared" si="16"/>
        <v/>
      </c>
      <c r="D164" s="24" t="str">
        <f>IF(ISERROR(VLOOKUP(C164,Settings!A:B,2,FALSE)),C164,VLOOKUP(C164,Settings!A:B,2,FALSE))</f>
        <v/>
      </c>
      <c r="E164" s="30" t="str">
        <f t="shared" si="18"/>
        <v>H</v>
      </c>
      <c r="F164" s="24" t="str">
        <f t="shared" si="19"/>
        <v/>
      </c>
      <c r="G164" s="24" t="str">
        <f>IF(ISNA(VLOOKUP(F164,Settings!G:H,2,FALSE)),"",VLOOKUP(F164,Settings!G:H,2,FALSE))</f>
        <v/>
      </c>
      <c r="H164" s="25"/>
      <c r="AL164" s="29">
        <f t="shared" si="17"/>
        <v>5</v>
      </c>
      <c r="AM164" s="29"/>
      <c r="AN164" s="29" t="str">
        <f>IF(ISNA(VLOOKUP(AM164,Settings!G:H,2,FALSE)),"",VLOOKUP(AM164,Settings!G:H,2,FALSE))</f>
        <v/>
      </c>
      <c r="AO164" s="30" t="str">
        <f t="shared" si="20"/>
        <v xml:space="preserve">O                             </v>
      </c>
      <c r="AP164" s="29" t="s">
        <v>9</v>
      </c>
    </row>
    <row r="165" spans="2:42">
      <c r="B165" s="24">
        <v>151</v>
      </c>
      <c r="C165" s="24" t="str">
        <f t="shared" si="16"/>
        <v/>
      </c>
      <c r="D165" s="24" t="str">
        <f>IF(ISERROR(VLOOKUP(C165,Settings!A:B,2,FALSE)),C165,VLOOKUP(C165,Settings!A:B,2,FALSE))</f>
        <v/>
      </c>
      <c r="E165" s="30" t="str">
        <f t="shared" si="18"/>
        <v>H</v>
      </c>
      <c r="F165" s="24" t="str">
        <f t="shared" si="19"/>
        <v/>
      </c>
      <c r="G165" s="24" t="str">
        <f>IF(ISNA(VLOOKUP(F165,Settings!G:H,2,FALSE)),"",VLOOKUP(F165,Settings!G:H,2,FALSE))</f>
        <v/>
      </c>
      <c r="H165" s="25"/>
      <c r="AL165" s="29">
        <f t="shared" si="17"/>
        <v>1</v>
      </c>
      <c r="AM165" s="29"/>
      <c r="AN165" s="29" t="str">
        <f>IF(ISNA(VLOOKUP(AM165,Settings!G:H,2,FALSE)),"",VLOOKUP(AM165,Settings!G:H,2,FALSE))</f>
        <v/>
      </c>
      <c r="AO165" s="30" t="str">
        <f t="shared" si="20"/>
        <v xml:space="preserve">O                              </v>
      </c>
      <c r="AP165" s="29" t="s">
        <v>9</v>
      </c>
    </row>
    <row r="166" spans="2:42">
      <c r="B166" s="24">
        <v>152</v>
      </c>
      <c r="C166" s="24" t="str">
        <f t="shared" si="16"/>
        <v/>
      </c>
      <c r="D166" s="24" t="str">
        <f>IF(ISERROR(VLOOKUP(C166,Settings!A:B,2,FALSE)),C166,VLOOKUP(C166,Settings!A:B,2,FALSE))</f>
        <v/>
      </c>
      <c r="E166" s="30" t="str">
        <f t="shared" si="18"/>
        <v>H</v>
      </c>
      <c r="F166" s="24" t="str">
        <f t="shared" si="19"/>
        <v/>
      </c>
      <c r="G166" s="24" t="str">
        <f>IF(ISNA(VLOOKUP(F166,Settings!G:H,2,FALSE)),"",VLOOKUP(F166,Settings!G:H,2,FALSE))</f>
        <v/>
      </c>
      <c r="H166" s="25"/>
      <c r="AL166" s="29">
        <f t="shared" si="17"/>
        <v>2</v>
      </c>
      <c r="AM166" s="29"/>
      <c r="AN166" s="29" t="str">
        <f>IF(ISNA(VLOOKUP(AM166,Settings!G:H,2,FALSE)),"",VLOOKUP(AM166,Settings!G:H,2,FALSE))</f>
        <v/>
      </c>
      <c r="AO166" s="30" t="str">
        <f t="shared" si="20"/>
        <v xml:space="preserve">O                              </v>
      </c>
      <c r="AP166" s="29" t="s">
        <v>9</v>
      </c>
    </row>
    <row r="167" spans="2:42">
      <c r="B167" s="24">
        <v>153</v>
      </c>
      <c r="C167" s="24" t="str">
        <f t="shared" si="16"/>
        <v/>
      </c>
      <c r="D167" s="24" t="str">
        <f>IF(ISERROR(VLOOKUP(C167,Settings!A:B,2,FALSE)),C167,VLOOKUP(C167,Settings!A:B,2,FALSE))</f>
        <v/>
      </c>
      <c r="E167" s="30" t="str">
        <f t="shared" si="18"/>
        <v>H</v>
      </c>
      <c r="F167" s="24" t="str">
        <f t="shared" si="19"/>
        <v/>
      </c>
      <c r="G167" s="24" t="str">
        <f>IF(ISNA(VLOOKUP(F167,Settings!G:H,2,FALSE)),"",VLOOKUP(F167,Settings!G:H,2,FALSE))</f>
        <v/>
      </c>
      <c r="H167" s="25"/>
      <c r="AL167" s="29">
        <f t="shared" si="17"/>
        <v>3</v>
      </c>
      <c r="AM167" s="29"/>
      <c r="AN167" s="29" t="str">
        <f>IF(ISNA(VLOOKUP(AM167,Settings!G:H,2,FALSE)),"",VLOOKUP(AM167,Settings!G:H,2,FALSE))</f>
        <v/>
      </c>
      <c r="AO167" s="30" t="str">
        <f t="shared" si="20"/>
        <v xml:space="preserve">O                              </v>
      </c>
      <c r="AP167" s="29" t="s">
        <v>9</v>
      </c>
    </row>
    <row r="168" spans="2:42">
      <c r="B168" s="24">
        <v>154</v>
      </c>
      <c r="C168" s="24" t="str">
        <f t="shared" si="16"/>
        <v/>
      </c>
      <c r="D168" s="24" t="str">
        <f>IF(ISERROR(VLOOKUP(C168,Settings!A:B,2,FALSE)),C168,VLOOKUP(C168,Settings!A:B,2,FALSE))</f>
        <v/>
      </c>
      <c r="E168" s="30" t="str">
        <f t="shared" si="18"/>
        <v>H</v>
      </c>
      <c r="F168" s="24" t="str">
        <f t="shared" si="19"/>
        <v/>
      </c>
      <c r="G168" s="24" t="str">
        <f>IF(ISNA(VLOOKUP(F168,Settings!G:H,2,FALSE)),"",VLOOKUP(F168,Settings!G:H,2,FALSE))</f>
        <v/>
      </c>
      <c r="H168" s="25"/>
      <c r="AL168" s="29">
        <f t="shared" si="17"/>
        <v>4</v>
      </c>
      <c r="AM168" s="29"/>
      <c r="AN168" s="29" t="str">
        <f>IF(ISNA(VLOOKUP(AM168,Settings!G:H,2,FALSE)),"",VLOOKUP(AM168,Settings!G:H,2,FALSE))</f>
        <v/>
      </c>
      <c r="AO168" s="30" t="str">
        <f t="shared" si="20"/>
        <v xml:space="preserve">O                              </v>
      </c>
      <c r="AP168" s="29" t="s">
        <v>9</v>
      </c>
    </row>
    <row r="169" spans="2:42">
      <c r="B169" s="24">
        <v>155</v>
      </c>
      <c r="C169" s="24" t="str">
        <f t="shared" si="16"/>
        <v/>
      </c>
      <c r="D169" s="24" t="str">
        <f>IF(ISERROR(VLOOKUP(C169,Settings!A:B,2,FALSE)),C169,VLOOKUP(C169,Settings!A:B,2,FALSE))</f>
        <v/>
      </c>
      <c r="E169" s="30" t="str">
        <f t="shared" si="18"/>
        <v>H</v>
      </c>
      <c r="F169" s="24" t="str">
        <f t="shared" si="19"/>
        <v/>
      </c>
      <c r="G169" s="24" t="str">
        <f>IF(ISNA(VLOOKUP(F169,Settings!G:H,2,FALSE)),"",VLOOKUP(F169,Settings!G:H,2,FALSE))</f>
        <v/>
      </c>
      <c r="H169" s="25"/>
      <c r="AL169" s="29">
        <f t="shared" si="17"/>
        <v>5</v>
      </c>
      <c r="AM169" s="29"/>
      <c r="AN169" s="29" t="str">
        <f>IF(ISNA(VLOOKUP(AM169,Settings!G:H,2,FALSE)),"",VLOOKUP(AM169,Settings!G:H,2,FALSE))</f>
        <v/>
      </c>
      <c r="AO169" s="30" t="str">
        <f t="shared" si="20"/>
        <v xml:space="preserve">O                              </v>
      </c>
      <c r="AP169" s="29" t="s">
        <v>9</v>
      </c>
    </row>
    <row r="170" spans="2:42">
      <c r="B170" s="24">
        <v>156</v>
      </c>
      <c r="C170" s="24" t="str">
        <f t="shared" si="16"/>
        <v/>
      </c>
      <c r="D170" s="24" t="str">
        <f>IF(ISERROR(VLOOKUP(C170,Settings!A:B,2,FALSE)),C170,VLOOKUP(C170,Settings!A:B,2,FALSE))</f>
        <v/>
      </c>
      <c r="E170" s="30" t="str">
        <f t="shared" si="18"/>
        <v>H</v>
      </c>
      <c r="F170" s="24" t="str">
        <f t="shared" si="19"/>
        <v/>
      </c>
      <c r="G170" s="24" t="str">
        <f>IF(ISNA(VLOOKUP(F170,Settings!G:H,2,FALSE)),"",VLOOKUP(F170,Settings!G:H,2,FALSE))</f>
        <v/>
      </c>
      <c r="H170" s="25"/>
      <c r="AL170" s="29">
        <f t="shared" si="17"/>
        <v>1</v>
      </c>
      <c r="AM170" s="29"/>
      <c r="AN170" s="29" t="str">
        <f>IF(ISNA(VLOOKUP(AM170,Settings!G:H,2,FALSE)),"",VLOOKUP(AM170,Settings!G:H,2,FALSE))</f>
        <v/>
      </c>
      <c r="AO170" s="30" t="str">
        <f t="shared" si="20"/>
        <v xml:space="preserve">O                               </v>
      </c>
      <c r="AP170" s="29" t="s">
        <v>9</v>
      </c>
    </row>
    <row r="171" spans="2:42">
      <c r="B171" s="24">
        <v>157</v>
      </c>
      <c r="C171" s="24" t="str">
        <f t="shared" si="16"/>
        <v/>
      </c>
      <c r="D171" s="24" t="str">
        <f>IF(ISERROR(VLOOKUP(C171,Settings!A:B,2,FALSE)),C171,VLOOKUP(C171,Settings!A:B,2,FALSE))</f>
        <v/>
      </c>
      <c r="E171" s="30" t="str">
        <f t="shared" si="18"/>
        <v>H</v>
      </c>
      <c r="F171" s="24" t="str">
        <f t="shared" si="19"/>
        <v/>
      </c>
      <c r="G171" s="24" t="str">
        <f>IF(ISNA(VLOOKUP(F171,Settings!G:H,2,FALSE)),"",VLOOKUP(F171,Settings!G:H,2,FALSE))</f>
        <v/>
      </c>
      <c r="H171" s="25"/>
      <c r="AL171" s="29">
        <f t="shared" si="17"/>
        <v>2</v>
      </c>
      <c r="AM171" s="29"/>
      <c r="AN171" s="29" t="str">
        <f>IF(ISNA(VLOOKUP(AM171,Settings!G:H,2,FALSE)),"",VLOOKUP(AM171,Settings!G:H,2,FALSE))</f>
        <v/>
      </c>
      <c r="AO171" s="30" t="str">
        <f t="shared" si="20"/>
        <v xml:space="preserve">O                               </v>
      </c>
      <c r="AP171" s="29" t="s">
        <v>9</v>
      </c>
    </row>
    <row r="172" spans="2:42">
      <c r="B172" s="24">
        <v>158</v>
      </c>
      <c r="C172" s="24" t="str">
        <f t="shared" si="16"/>
        <v/>
      </c>
      <c r="D172" s="24" t="str">
        <f>IF(ISERROR(VLOOKUP(C172,Settings!A:B,2,FALSE)),C172,VLOOKUP(C172,Settings!A:B,2,FALSE))</f>
        <v/>
      </c>
      <c r="E172" s="30" t="str">
        <f t="shared" si="18"/>
        <v>H</v>
      </c>
      <c r="F172" s="24" t="str">
        <f t="shared" si="19"/>
        <v/>
      </c>
      <c r="G172" s="24" t="str">
        <f>IF(ISNA(VLOOKUP(F172,Settings!G:H,2,FALSE)),"",VLOOKUP(F172,Settings!G:H,2,FALSE))</f>
        <v/>
      </c>
      <c r="H172" s="25"/>
      <c r="AL172" s="29">
        <f t="shared" si="17"/>
        <v>3</v>
      </c>
      <c r="AM172" s="29"/>
      <c r="AN172" s="29" t="str">
        <f>IF(ISNA(VLOOKUP(AM172,Settings!G:H,2,FALSE)),"",VLOOKUP(AM172,Settings!G:H,2,FALSE))</f>
        <v/>
      </c>
      <c r="AO172" s="30" t="str">
        <f t="shared" si="20"/>
        <v xml:space="preserve">O                               </v>
      </c>
      <c r="AP172" s="29" t="s">
        <v>9</v>
      </c>
    </row>
    <row r="173" spans="2:42">
      <c r="B173" s="24">
        <v>159</v>
      </c>
      <c r="C173" s="24" t="str">
        <f t="shared" si="16"/>
        <v/>
      </c>
      <c r="D173" s="24" t="str">
        <f>IF(ISERROR(VLOOKUP(C173,Settings!A:B,2,FALSE)),C173,VLOOKUP(C173,Settings!A:B,2,FALSE))</f>
        <v/>
      </c>
      <c r="E173" s="30" t="str">
        <f t="shared" si="18"/>
        <v>H</v>
      </c>
      <c r="F173" s="24" t="str">
        <f t="shared" si="19"/>
        <v/>
      </c>
      <c r="G173" s="24" t="str">
        <f>IF(ISNA(VLOOKUP(F173,Settings!G:H,2,FALSE)),"",VLOOKUP(F173,Settings!G:H,2,FALSE))</f>
        <v/>
      </c>
      <c r="H173" s="25"/>
      <c r="AL173" s="29">
        <f t="shared" si="17"/>
        <v>4</v>
      </c>
      <c r="AM173" s="29"/>
      <c r="AN173" s="29" t="str">
        <f>IF(ISNA(VLOOKUP(AM173,Settings!G:H,2,FALSE)),"",VLOOKUP(AM173,Settings!G:H,2,FALSE))</f>
        <v/>
      </c>
      <c r="AO173" s="30" t="str">
        <f t="shared" si="20"/>
        <v xml:space="preserve">O                               </v>
      </c>
      <c r="AP173" s="29" t="s">
        <v>9</v>
      </c>
    </row>
    <row r="174" spans="2:42">
      <c r="B174" s="24">
        <v>160</v>
      </c>
      <c r="C174" s="24" t="str">
        <f t="shared" si="16"/>
        <v/>
      </c>
      <c r="D174" s="24" t="str">
        <f>IF(ISERROR(VLOOKUP(C174,Settings!A:B,2,FALSE)),C174,VLOOKUP(C174,Settings!A:B,2,FALSE))</f>
        <v/>
      </c>
      <c r="E174" s="30" t="str">
        <f t="shared" si="18"/>
        <v>H</v>
      </c>
      <c r="F174" s="24" t="str">
        <f t="shared" si="19"/>
        <v/>
      </c>
      <c r="G174" s="24" t="str">
        <f>IF(ISNA(VLOOKUP(F174,Settings!G:H,2,FALSE)),"",VLOOKUP(F174,Settings!G:H,2,FALSE))</f>
        <v/>
      </c>
      <c r="H174" s="25"/>
      <c r="AL174" s="29">
        <f t="shared" si="17"/>
        <v>5</v>
      </c>
      <c r="AM174" s="29"/>
      <c r="AN174" s="29" t="str">
        <f>IF(ISNA(VLOOKUP(AM174,Settings!G:H,2,FALSE)),"",VLOOKUP(AM174,Settings!G:H,2,FALSE))</f>
        <v/>
      </c>
      <c r="AO174" s="30" t="str">
        <f t="shared" si="20"/>
        <v xml:space="preserve">O                               </v>
      </c>
      <c r="AP174" s="29" t="s">
        <v>9</v>
      </c>
    </row>
    <row r="175" spans="2:42">
      <c r="B175" s="24">
        <v>161</v>
      </c>
      <c r="C175" s="24" t="str">
        <f t="shared" si="16"/>
        <v/>
      </c>
      <c r="D175" s="24" t="str">
        <f>IF(ISERROR(VLOOKUP(C175,Settings!A:B,2,FALSE)),C175,VLOOKUP(C175,Settings!A:B,2,FALSE))</f>
        <v/>
      </c>
      <c r="E175" s="30" t="str">
        <f t="shared" si="18"/>
        <v>H</v>
      </c>
      <c r="F175" s="24" t="str">
        <f t="shared" si="19"/>
        <v/>
      </c>
      <c r="G175" s="24" t="str">
        <f>IF(ISNA(VLOOKUP(F175,Settings!G:H,2,FALSE)),"",VLOOKUP(F175,Settings!G:H,2,FALSE))</f>
        <v/>
      </c>
      <c r="H175" s="25"/>
      <c r="AL175" s="29">
        <f t="shared" si="17"/>
        <v>1</v>
      </c>
      <c r="AM175" s="29"/>
      <c r="AN175" s="29" t="str">
        <f>IF(ISNA(VLOOKUP(AM175,Settings!G:H,2,FALSE)),"",VLOOKUP(AM175,Settings!G:H,2,FALSE))</f>
        <v/>
      </c>
      <c r="AO175" s="30" t="str">
        <f t="shared" si="20"/>
        <v xml:space="preserve">O                                </v>
      </c>
      <c r="AP175" s="29" t="s">
        <v>9</v>
      </c>
    </row>
    <row r="176" spans="2:42">
      <c r="B176" s="24">
        <v>162</v>
      </c>
      <c r="C176" s="24" t="str">
        <f t="shared" si="16"/>
        <v/>
      </c>
      <c r="D176" s="24" t="str">
        <f>IF(ISERROR(VLOOKUP(C176,Settings!A:B,2,FALSE)),C176,VLOOKUP(C176,Settings!A:B,2,FALSE))</f>
        <v/>
      </c>
      <c r="E176" s="30" t="str">
        <f t="shared" si="18"/>
        <v>H</v>
      </c>
      <c r="F176" s="24" t="str">
        <f t="shared" si="19"/>
        <v/>
      </c>
      <c r="G176" s="24" t="str">
        <f>IF(ISNA(VLOOKUP(F176,Settings!G:H,2,FALSE)),"",VLOOKUP(F176,Settings!G:H,2,FALSE))</f>
        <v/>
      </c>
      <c r="H176" s="25"/>
      <c r="AL176" s="29">
        <f t="shared" si="17"/>
        <v>2</v>
      </c>
      <c r="AM176" s="29"/>
      <c r="AN176" s="29" t="str">
        <f>IF(ISNA(VLOOKUP(AM176,Settings!G:H,2,FALSE)),"",VLOOKUP(AM176,Settings!G:H,2,FALSE))</f>
        <v/>
      </c>
      <c r="AO176" s="30" t="str">
        <f t="shared" si="20"/>
        <v xml:space="preserve">O                                </v>
      </c>
      <c r="AP176" s="29" t="s">
        <v>9</v>
      </c>
    </row>
    <row r="177" spans="2:42">
      <c r="B177" s="24">
        <v>163</v>
      </c>
      <c r="C177" s="24" t="str">
        <f t="shared" si="16"/>
        <v/>
      </c>
      <c r="D177" s="24" t="str">
        <f>IF(ISERROR(VLOOKUP(C177,Settings!A:B,2,FALSE)),C177,VLOOKUP(C177,Settings!A:B,2,FALSE))</f>
        <v/>
      </c>
      <c r="E177" s="30" t="str">
        <f t="shared" si="18"/>
        <v>H</v>
      </c>
      <c r="F177" s="24" t="str">
        <f t="shared" si="19"/>
        <v/>
      </c>
      <c r="G177" s="24" t="str">
        <f>IF(ISNA(VLOOKUP(F177,Settings!G:H,2,FALSE)),"",VLOOKUP(F177,Settings!G:H,2,FALSE))</f>
        <v/>
      </c>
      <c r="H177" s="25"/>
      <c r="AL177" s="29">
        <f t="shared" si="17"/>
        <v>3</v>
      </c>
      <c r="AM177" s="29"/>
      <c r="AN177" s="29" t="str">
        <f>IF(ISNA(VLOOKUP(AM177,Settings!G:H,2,FALSE)),"",VLOOKUP(AM177,Settings!G:H,2,FALSE))</f>
        <v/>
      </c>
      <c r="AO177" s="30" t="str">
        <f t="shared" si="20"/>
        <v xml:space="preserve">O                                </v>
      </c>
      <c r="AP177" s="29" t="s">
        <v>9</v>
      </c>
    </row>
    <row r="178" spans="2:42">
      <c r="B178" s="24">
        <v>164</v>
      </c>
      <c r="C178" s="24" t="str">
        <f t="shared" si="16"/>
        <v/>
      </c>
      <c r="D178" s="24" t="str">
        <f>IF(ISERROR(VLOOKUP(C178,Settings!A:B,2,FALSE)),C178,VLOOKUP(C178,Settings!A:B,2,FALSE))</f>
        <v/>
      </c>
      <c r="E178" s="30" t="str">
        <f t="shared" si="18"/>
        <v>H</v>
      </c>
      <c r="F178" s="24" t="str">
        <f t="shared" si="19"/>
        <v/>
      </c>
      <c r="G178" s="24" t="str">
        <f>IF(ISNA(VLOOKUP(F178,Settings!G:H,2,FALSE)),"",VLOOKUP(F178,Settings!G:H,2,FALSE))</f>
        <v/>
      </c>
      <c r="H178" s="25"/>
      <c r="AL178" s="29">
        <f t="shared" si="17"/>
        <v>4</v>
      </c>
      <c r="AM178" s="29"/>
      <c r="AN178" s="29" t="str">
        <f>IF(ISNA(VLOOKUP(AM178,Settings!G:H,2,FALSE)),"",VLOOKUP(AM178,Settings!G:H,2,FALSE))</f>
        <v/>
      </c>
      <c r="AO178" s="30" t="str">
        <f t="shared" si="20"/>
        <v xml:space="preserve">O                                </v>
      </c>
      <c r="AP178" s="29" t="s">
        <v>9</v>
      </c>
    </row>
    <row r="179" spans="2:42">
      <c r="B179" s="24">
        <v>165</v>
      </c>
      <c r="C179" s="24" t="str">
        <f t="shared" si="16"/>
        <v/>
      </c>
      <c r="D179" s="24" t="str">
        <f>IF(ISERROR(VLOOKUP(C179,Settings!A:B,2,FALSE)),C179,VLOOKUP(C179,Settings!A:B,2,FALSE))</f>
        <v/>
      </c>
      <c r="E179" s="30" t="str">
        <f t="shared" si="18"/>
        <v>H</v>
      </c>
      <c r="F179" s="24" t="str">
        <f t="shared" si="19"/>
        <v/>
      </c>
      <c r="G179" s="24" t="str">
        <f>IF(ISNA(VLOOKUP(F179,Settings!G:H,2,FALSE)),"",VLOOKUP(F179,Settings!G:H,2,FALSE))</f>
        <v/>
      </c>
      <c r="H179" s="25"/>
      <c r="AL179" s="29">
        <f t="shared" si="17"/>
        <v>5</v>
      </c>
      <c r="AM179" s="29"/>
      <c r="AN179" s="29" t="str">
        <f>IF(ISNA(VLOOKUP(AM179,Settings!G:H,2,FALSE)),"",VLOOKUP(AM179,Settings!G:H,2,FALSE))</f>
        <v/>
      </c>
      <c r="AO179" s="30" t="str">
        <f t="shared" si="20"/>
        <v xml:space="preserve">O                                </v>
      </c>
      <c r="AP179" s="29" t="s">
        <v>9</v>
      </c>
    </row>
    <row r="180" spans="2:42">
      <c r="B180" s="24">
        <v>166</v>
      </c>
      <c r="C180" s="24" t="str">
        <f t="shared" si="16"/>
        <v/>
      </c>
      <c r="D180" s="24" t="str">
        <f>IF(ISERROR(VLOOKUP(C180,Settings!A:B,2,FALSE)),C180,VLOOKUP(C180,Settings!A:B,2,FALSE))</f>
        <v/>
      </c>
      <c r="E180" s="30" t="str">
        <f t="shared" si="18"/>
        <v>H</v>
      </c>
      <c r="F180" s="24" t="str">
        <f t="shared" si="19"/>
        <v/>
      </c>
      <c r="G180" s="24" t="str">
        <f>IF(ISNA(VLOOKUP(F180,Settings!G:H,2,FALSE)),"",VLOOKUP(F180,Settings!G:H,2,FALSE))</f>
        <v/>
      </c>
      <c r="H180" s="25"/>
      <c r="AL180" s="29">
        <f t="shared" si="17"/>
        <v>1</v>
      </c>
      <c r="AM180" s="29"/>
      <c r="AN180" s="29" t="str">
        <f>IF(ISNA(VLOOKUP(AM180,Settings!G:H,2,FALSE)),"",VLOOKUP(AM180,Settings!G:H,2,FALSE))</f>
        <v/>
      </c>
      <c r="AO180" s="30" t="str">
        <f t="shared" si="20"/>
        <v xml:space="preserve">O                                 </v>
      </c>
      <c r="AP180" s="29" t="s">
        <v>9</v>
      </c>
    </row>
    <row r="181" spans="2:42">
      <c r="B181" s="24">
        <v>167</v>
      </c>
      <c r="C181" s="24" t="str">
        <f t="shared" si="16"/>
        <v/>
      </c>
      <c r="D181" s="24" t="str">
        <f>IF(ISERROR(VLOOKUP(C181,Settings!A:B,2,FALSE)),C181,VLOOKUP(C181,Settings!A:B,2,FALSE))</f>
        <v/>
      </c>
      <c r="E181" s="30" t="str">
        <f t="shared" si="18"/>
        <v>H</v>
      </c>
      <c r="F181" s="24" t="str">
        <f t="shared" si="19"/>
        <v/>
      </c>
      <c r="G181" s="24" t="str">
        <f>IF(ISNA(VLOOKUP(F181,Settings!G:H,2,FALSE)),"",VLOOKUP(F181,Settings!G:H,2,FALSE))</f>
        <v/>
      </c>
      <c r="H181" s="25"/>
      <c r="AL181" s="29">
        <f t="shared" si="17"/>
        <v>2</v>
      </c>
      <c r="AM181" s="29"/>
      <c r="AN181" s="29" t="str">
        <f>IF(ISNA(VLOOKUP(AM181,Settings!G:H,2,FALSE)),"",VLOOKUP(AM181,Settings!G:H,2,FALSE))</f>
        <v/>
      </c>
      <c r="AO181" s="30" t="str">
        <f t="shared" si="20"/>
        <v xml:space="preserve">O                                 </v>
      </c>
      <c r="AP181" s="29" t="s">
        <v>9</v>
      </c>
    </row>
    <row r="182" spans="2:42">
      <c r="B182" s="24">
        <v>168</v>
      </c>
      <c r="C182" s="24" t="str">
        <f t="shared" si="16"/>
        <v/>
      </c>
      <c r="D182" s="24" t="str">
        <f>IF(ISERROR(VLOOKUP(C182,Settings!A:B,2,FALSE)),C182,VLOOKUP(C182,Settings!A:B,2,FALSE))</f>
        <v/>
      </c>
      <c r="E182" s="30" t="str">
        <f t="shared" si="18"/>
        <v>H</v>
      </c>
      <c r="F182" s="24" t="str">
        <f t="shared" si="19"/>
        <v/>
      </c>
      <c r="G182" s="24" t="str">
        <f>IF(ISNA(VLOOKUP(F182,Settings!G:H,2,FALSE)),"",VLOOKUP(F182,Settings!G:H,2,FALSE))</f>
        <v/>
      </c>
      <c r="H182" s="25"/>
      <c r="AL182" s="29">
        <f t="shared" si="17"/>
        <v>3</v>
      </c>
      <c r="AM182" s="29"/>
      <c r="AN182" s="29" t="str">
        <f>IF(ISNA(VLOOKUP(AM182,Settings!G:H,2,FALSE)),"",VLOOKUP(AM182,Settings!G:H,2,FALSE))</f>
        <v/>
      </c>
      <c r="AO182" s="30" t="str">
        <f t="shared" si="20"/>
        <v xml:space="preserve">O                                 </v>
      </c>
      <c r="AP182" s="29" t="s">
        <v>9</v>
      </c>
    </row>
    <row r="183" spans="2:42">
      <c r="B183" s="24">
        <v>169</v>
      </c>
      <c r="C183" s="24" t="str">
        <f t="shared" si="16"/>
        <v/>
      </c>
      <c r="D183" s="24" t="str">
        <f>IF(ISERROR(VLOOKUP(C183,Settings!A:B,2,FALSE)),C183,VLOOKUP(C183,Settings!A:B,2,FALSE))</f>
        <v/>
      </c>
      <c r="E183" s="30" t="str">
        <f t="shared" si="18"/>
        <v>H</v>
      </c>
      <c r="F183" s="24" t="str">
        <f t="shared" si="19"/>
        <v/>
      </c>
      <c r="G183" s="24" t="str">
        <f>IF(ISNA(VLOOKUP(F183,Settings!G:H,2,FALSE)),"",VLOOKUP(F183,Settings!G:H,2,FALSE))</f>
        <v/>
      </c>
      <c r="H183" s="25"/>
      <c r="AL183" s="29">
        <f t="shared" si="17"/>
        <v>4</v>
      </c>
      <c r="AM183" s="29"/>
      <c r="AN183" s="29" t="str">
        <f>IF(ISNA(VLOOKUP(AM183,Settings!G:H,2,FALSE)),"",VLOOKUP(AM183,Settings!G:H,2,FALSE))</f>
        <v/>
      </c>
      <c r="AO183" s="30" t="str">
        <f t="shared" si="20"/>
        <v xml:space="preserve">O                                 </v>
      </c>
      <c r="AP183" s="29" t="s">
        <v>9</v>
      </c>
    </row>
    <row r="184" spans="2:42">
      <c r="B184" s="24">
        <v>170</v>
      </c>
      <c r="C184" s="24" t="str">
        <f t="shared" si="16"/>
        <v/>
      </c>
      <c r="D184" s="24" t="str">
        <f>IF(ISERROR(VLOOKUP(C184,Settings!A:B,2,FALSE)),C184,VLOOKUP(C184,Settings!A:B,2,FALSE))</f>
        <v/>
      </c>
      <c r="E184" s="30" t="str">
        <f t="shared" si="18"/>
        <v>H</v>
      </c>
      <c r="F184" s="24" t="str">
        <f t="shared" si="19"/>
        <v/>
      </c>
      <c r="G184" s="24" t="str">
        <f>IF(ISNA(VLOOKUP(F184,Settings!G:H,2,FALSE)),"",VLOOKUP(F184,Settings!G:H,2,FALSE))</f>
        <v/>
      </c>
      <c r="H184" s="25"/>
      <c r="AL184" s="29">
        <f t="shared" si="17"/>
        <v>5</v>
      </c>
      <c r="AM184" s="29"/>
      <c r="AN184" s="29" t="str">
        <f>IF(ISNA(VLOOKUP(AM184,Settings!G:H,2,FALSE)),"",VLOOKUP(AM184,Settings!G:H,2,FALSE))</f>
        <v/>
      </c>
      <c r="AO184" s="30" t="str">
        <f t="shared" si="20"/>
        <v xml:space="preserve">O                                 </v>
      </c>
      <c r="AP184" s="29" t="s">
        <v>9</v>
      </c>
    </row>
    <row r="185" spans="2:42">
      <c r="B185" s="24">
        <v>171</v>
      </c>
      <c r="C185" s="24" t="str">
        <f t="shared" si="16"/>
        <v/>
      </c>
      <c r="D185" s="24" t="str">
        <f>IF(ISERROR(VLOOKUP(C185,Settings!A:B,2,FALSE)),C185,VLOOKUP(C185,Settings!A:B,2,FALSE))</f>
        <v/>
      </c>
      <c r="E185" s="30" t="str">
        <f t="shared" si="18"/>
        <v>H</v>
      </c>
      <c r="F185" s="24" t="str">
        <f t="shared" si="19"/>
        <v/>
      </c>
      <c r="G185" s="24" t="str">
        <f>IF(ISNA(VLOOKUP(F185,Settings!G:H,2,FALSE)),"",VLOOKUP(F185,Settings!G:H,2,FALSE))</f>
        <v/>
      </c>
      <c r="H185" s="25"/>
      <c r="AL185" s="29">
        <f t="shared" si="17"/>
        <v>1</v>
      </c>
      <c r="AM185" s="29"/>
      <c r="AN185" s="29" t="str">
        <f>IF(ISNA(VLOOKUP(AM185,Settings!G:H,2,FALSE)),"",VLOOKUP(AM185,Settings!G:H,2,FALSE))</f>
        <v/>
      </c>
      <c r="AO185" s="30" t="str">
        <f t="shared" si="20"/>
        <v xml:space="preserve">O                                  </v>
      </c>
      <c r="AP185" s="29" t="s">
        <v>9</v>
      </c>
    </row>
    <row r="186" spans="2:42">
      <c r="B186" s="24">
        <v>172</v>
      </c>
      <c r="C186" s="24" t="str">
        <f t="shared" si="16"/>
        <v/>
      </c>
      <c r="D186" s="24" t="str">
        <f>IF(ISERROR(VLOOKUP(C186,Settings!A:B,2,FALSE)),C186,VLOOKUP(C186,Settings!A:B,2,FALSE))</f>
        <v/>
      </c>
      <c r="E186" s="30" t="str">
        <f t="shared" si="18"/>
        <v>H</v>
      </c>
      <c r="F186" s="24" t="str">
        <f t="shared" si="19"/>
        <v/>
      </c>
      <c r="G186" s="24" t="str">
        <f>IF(ISNA(VLOOKUP(F186,Settings!G:H,2,FALSE)),"",VLOOKUP(F186,Settings!G:H,2,FALSE))</f>
        <v/>
      </c>
      <c r="H186" s="25"/>
      <c r="AL186" s="29">
        <f t="shared" si="17"/>
        <v>2</v>
      </c>
      <c r="AM186" s="29"/>
      <c r="AN186" s="29" t="str">
        <f>IF(ISNA(VLOOKUP(AM186,Settings!G:H,2,FALSE)),"",VLOOKUP(AM186,Settings!G:H,2,FALSE))</f>
        <v/>
      </c>
      <c r="AO186" s="30" t="str">
        <f t="shared" si="20"/>
        <v xml:space="preserve">O                                  </v>
      </c>
      <c r="AP186" s="29" t="s">
        <v>9</v>
      </c>
    </row>
    <row r="187" spans="2:42">
      <c r="B187" s="24">
        <v>173</v>
      </c>
      <c r="C187" s="24" t="str">
        <f t="shared" si="16"/>
        <v/>
      </c>
      <c r="D187" s="24" t="str">
        <f>IF(ISERROR(VLOOKUP(C187,Settings!A:B,2,FALSE)),C187,VLOOKUP(C187,Settings!A:B,2,FALSE))</f>
        <v/>
      </c>
      <c r="E187" s="30" t="str">
        <f t="shared" si="18"/>
        <v>H</v>
      </c>
      <c r="F187" s="24" t="str">
        <f t="shared" si="19"/>
        <v/>
      </c>
      <c r="G187" s="24" t="str">
        <f>IF(ISNA(VLOOKUP(F187,Settings!G:H,2,FALSE)),"",VLOOKUP(F187,Settings!G:H,2,FALSE))</f>
        <v/>
      </c>
      <c r="H187" s="25"/>
      <c r="AL187" s="29">
        <f t="shared" si="17"/>
        <v>3</v>
      </c>
      <c r="AM187" s="29"/>
      <c r="AN187" s="29" t="str">
        <f>IF(ISNA(VLOOKUP(AM187,Settings!G:H,2,FALSE)),"",VLOOKUP(AM187,Settings!G:H,2,FALSE))</f>
        <v/>
      </c>
      <c r="AO187" s="30" t="str">
        <f t="shared" si="20"/>
        <v xml:space="preserve">O                                  </v>
      </c>
      <c r="AP187" s="29" t="s">
        <v>9</v>
      </c>
    </row>
    <row r="188" spans="2:42">
      <c r="B188" s="24">
        <v>174</v>
      </c>
      <c r="C188" s="24" t="str">
        <f t="shared" si="16"/>
        <v/>
      </c>
      <c r="D188" s="24" t="str">
        <f>IF(ISERROR(VLOOKUP(C188,Settings!A:B,2,FALSE)),C188,VLOOKUP(C188,Settings!A:B,2,FALSE))</f>
        <v/>
      </c>
      <c r="E188" s="30" t="str">
        <f t="shared" si="18"/>
        <v>H</v>
      </c>
      <c r="F188" s="24" t="str">
        <f t="shared" si="19"/>
        <v/>
      </c>
      <c r="G188" s="24" t="str">
        <f>IF(ISNA(VLOOKUP(F188,Settings!G:H,2,FALSE)),"",VLOOKUP(F188,Settings!G:H,2,FALSE))</f>
        <v/>
      </c>
      <c r="H188" s="25"/>
      <c r="AL188" s="29">
        <f t="shared" si="17"/>
        <v>4</v>
      </c>
      <c r="AM188" s="29"/>
      <c r="AN188" s="29" t="str">
        <f>IF(ISNA(VLOOKUP(AM188,Settings!G:H,2,FALSE)),"",VLOOKUP(AM188,Settings!G:H,2,FALSE))</f>
        <v/>
      </c>
      <c r="AO188" s="30" t="str">
        <f t="shared" si="20"/>
        <v xml:space="preserve">O                                  </v>
      </c>
      <c r="AP188" s="29" t="s">
        <v>9</v>
      </c>
    </row>
    <row r="189" spans="2:42">
      <c r="B189" s="24">
        <v>175</v>
      </c>
      <c r="C189" s="24" t="str">
        <f t="shared" si="16"/>
        <v/>
      </c>
      <c r="D189" s="24" t="str">
        <f>IF(ISERROR(VLOOKUP(C189,Settings!A:B,2,FALSE)),C189,VLOOKUP(C189,Settings!A:B,2,FALSE))</f>
        <v/>
      </c>
      <c r="E189" s="30" t="str">
        <f t="shared" si="18"/>
        <v>H</v>
      </c>
      <c r="F189" s="24" t="str">
        <f t="shared" si="19"/>
        <v/>
      </c>
      <c r="G189" s="24" t="str">
        <f>IF(ISNA(VLOOKUP(F189,Settings!G:H,2,FALSE)),"",VLOOKUP(F189,Settings!G:H,2,FALSE))</f>
        <v/>
      </c>
      <c r="H189" s="25"/>
      <c r="AL189" s="29">
        <f t="shared" si="17"/>
        <v>5</v>
      </c>
      <c r="AM189" s="29"/>
      <c r="AN189" s="29" t="str">
        <f>IF(ISNA(VLOOKUP(AM189,Settings!G:H,2,FALSE)),"",VLOOKUP(AM189,Settings!G:H,2,FALSE))</f>
        <v/>
      </c>
      <c r="AO189" s="30" t="str">
        <f t="shared" si="20"/>
        <v xml:space="preserve">O                                  </v>
      </c>
      <c r="AP189" s="29" t="s">
        <v>9</v>
      </c>
    </row>
    <row r="190" spans="2:42">
      <c r="B190" s="24">
        <v>176</v>
      </c>
      <c r="C190" s="24" t="str">
        <f t="shared" si="16"/>
        <v/>
      </c>
      <c r="D190" s="24" t="str">
        <f>IF(ISERROR(VLOOKUP(C190,Settings!A:B,2,FALSE)),C190,VLOOKUP(C190,Settings!A:B,2,FALSE))</f>
        <v/>
      </c>
      <c r="E190" s="30" t="str">
        <f t="shared" si="18"/>
        <v>H</v>
      </c>
      <c r="F190" s="24" t="str">
        <f t="shared" si="19"/>
        <v/>
      </c>
      <c r="G190" s="24" t="str">
        <f>IF(ISNA(VLOOKUP(F190,Settings!G:H,2,FALSE)),"",VLOOKUP(F190,Settings!G:H,2,FALSE))</f>
        <v/>
      </c>
      <c r="H190" s="25"/>
      <c r="AL190" s="29">
        <f t="shared" si="17"/>
        <v>1</v>
      </c>
      <c r="AM190" s="29"/>
      <c r="AN190" s="29" t="str">
        <f>IF(ISNA(VLOOKUP(AM190,Settings!G:H,2,FALSE)),"",VLOOKUP(AM190,Settings!G:H,2,FALSE))</f>
        <v/>
      </c>
      <c r="AO190" s="30" t="str">
        <f t="shared" si="20"/>
        <v xml:space="preserve">O                                   </v>
      </c>
      <c r="AP190" s="29" t="s">
        <v>9</v>
      </c>
    </row>
    <row r="191" spans="2:42">
      <c r="B191" s="24">
        <v>177</v>
      </c>
      <c r="C191" s="24" t="str">
        <f t="shared" si="16"/>
        <v/>
      </c>
      <c r="D191" s="24" t="str">
        <f>IF(ISERROR(VLOOKUP(C191,Settings!A:B,2,FALSE)),C191,VLOOKUP(C191,Settings!A:B,2,FALSE))</f>
        <v/>
      </c>
      <c r="E191" s="30" t="str">
        <f t="shared" si="18"/>
        <v>H</v>
      </c>
      <c r="F191" s="24" t="str">
        <f t="shared" si="19"/>
        <v/>
      </c>
      <c r="G191" s="24" t="str">
        <f>IF(ISNA(VLOOKUP(F191,Settings!G:H,2,FALSE)),"",VLOOKUP(F191,Settings!G:H,2,FALSE))</f>
        <v/>
      </c>
      <c r="H191" s="25"/>
      <c r="AL191" s="29">
        <f t="shared" si="17"/>
        <v>2</v>
      </c>
      <c r="AM191" s="29"/>
      <c r="AN191" s="29" t="str">
        <f>IF(ISNA(VLOOKUP(AM191,Settings!G:H,2,FALSE)),"",VLOOKUP(AM191,Settings!G:H,2,FALSE))</f>
        <v/>
      </c>
      <c r="AO191" s="30" t="str">
        <f t="shared" si="20"/>
        <v xml:space="preserve">O                                   </v>
      </c>
      <c r="AP191" s="29" t="s">
        <v>9</v>
      </c>
    </row>
    <row r="192" spans="2:42">
      <c r="B192" s="24">
        <v>178</v>
      </c>
      <c r="C192" s="24" t="str">
        <f t="shared" si="16"/>
        <v/>
      </c>
      <c r="D192" s="24" t="str">
        <f>IF(ISERROR(VLOOKUP(C192,Settings!A:B,2,FALSE)),C192,VLOOKUP(C192,Settings!A:B,2,FALSE))</f>
        <v/>
      </c>
      <c r="E192" s="30" t="str">
        <f t="shared" si="18"/>
        <v>H</v>
      </c>
      <c r="F192" s="24" t="str">
        <f t="shared" si="19"/>
        <v/>
      </c>
      <c r="G192" s="24" t="str">
        <f>IF(ISNA(VLOOKUP(F192,Settings!G:H,2,FALSE)),"",VLOOKUP(F192,Settings!G:H,2,FALSE))</f>
        <v/>
      </c>
      <c r="H192" s="25"/>
      <c r="AL192" s="29">
        <f t="shared" si="17"/>
        <v>3</v>
      </c>
      <c r="AM192" s="29"/>
      <c r="AN192" s="29" t="str">
        <f>IF(ISNA(VLOOKUP(AM192,Settings!G:H,2,FALSE)),"",VLOOKUP(AM192,Settings!G:H,2,FALSE))</f>
        <v/>
      </c>
      <c r="AO192" s="30" t="str">
        <f t="shared" si="20"/>
        <v xml:space="preserve">O                                   </v>
      </c>
      <c r="AP192" s="29" t="s">
        <v>9</v>
      </c>
    </row>
    <row r="193" spans="2:42">
      <c r="B193" s="24">
        <v>179</v>
      </c>
      <c r="C193" s="24" t="str">
        <f t="shared" si="16"/>
        <v/>
      </c>
      <c r="D193" s="24" t="str">
        <f>IF(ISERROR(VLOOKUP(C193,Settings!A:B,2,FALSE)),C193,VLOOKUP(C193,Settings!A:B,2,FALSE))</f>
        <v/>
      </c>
      <c r="E193" s="30" t="str">
        <f t="shared" si="18"/>
        <v>H</v>
      </c>
      <c r="F193" s="24" t="str">
        <f t="shared" si="19"/>
        <v/>
      </c>
      <c r="G193" s="24" t="str">
        <f>IF(ISNA(VLOOKUP(F193,Settings!G:H,2,FALSE)),"",VLOOKUP(F193,Settings!G:H,2,FALSE))</f>
        <v/>
      </c>
      <c r="H193" s="25"/>
      <c r="AL193" s="29">
        <f t="shared" si="17"/>
        <v>4</v>
      </c>
      <c r="AM193" s="29"/>
      <c r="AN193" s="29" t="str">
        <f>IF(ISNA(VLOOKUP(AM193,Settings!G:H,2,FALSE)),"",VLOOKUP(AM193,Settings!G:H,2,FALSE))</f>
        <v/>
      </c>
      <c r="AO193" s="30" t="str">
        <f t="shared" si="20"/>
        <v xml:space="preserve">O                                   </v>
      </c>
      <c r="AP193" s="29" t="s">
        <v>9</v>
      </c>
    </row>
    <row r="194" spans="2:42">
      <c r="B194" s="24">
        <v>180</v>
      </c>
      <c r="C194" s="24" t="str">
        <f t="shared" si="16"/>
        <v/>
      </c>
      <c r="D194" s="24" t="str">
        <f>IF(ISERROR(VLOOKUP(C194,Settings!A:B,2,FALSE)),C194,VLOOKUP(C194,Settings!A:B,2,FALSE))</f>
        <v/>
      </c>
      <c r="E194" s="30" t="str">
        <f t="shared" si="18"/>
        <v>H</v>
      </c>
      <c r="F194" s="24" t="str">
        <f t="shared" si="19"/>
        <v/>
      </c>
      <c r="G194" s="24" t="str">
        <f>IF(ISNA(VLOOKUP(F194,Settings!G:H,2,FALSE)),"",VLOOKUP(F194,Settings!G:H,2,FALSE))</f>
        <v/>
      </c>
      <c r="H194" s="25"/>
      <c r="AL194" s="29">
        <f t="shared" si="17"/>
        <v>5</v>
      </c>
      <c r="AM194" s="29"/>
      <c r="AN194" s="29" t="str">
        <f>IF(ISNA(VLOOKUP(AM194,Settings!G:H,2,FALSE)),"",VLOOKUP(AM194,Settings!G:H,2,FALSE))</f>
        <v/>
      </c>
      <c r="AO194" s="30" t="str">
        <f t="shared" si="20"/>
        <v xml:space="preserve">O                                   </v>
      </c>
      <c r="AP194" s="29" t="s">
        <v>9</v>
      </c>
    </row>
    <row r="195" spans="2:42">
      <c r="B195" s="24">
        <v>181</v>
      </c>
      <c r="C195" s="24" t="str">
        <f t="shared" si="16"/>
        <v/>
      </c>
      <c r="D195" s="24" t="str">
        <f>IF(ISERROR(VLOOKUP(C195,Settings!A:B,2,FALSE)),C195,VLOOKUP(C195,Settings!A:B,2,FALSE))</f>
        <v/>
      </c>
      <c r="E195" s="30" t="str">
        <f t="shared" si="18"/>
        <v>H</v>
      </c>
      <c r="F195" s="24" t="str">
        <f t="shared" si="19"/>
        <v/>
      </c>
      <c r="G195" s="24" t="str">
        <f>IF(ISNA(VLOOKUP(F195,Settings!G:H,2,FALSE)),"",VLOOKUP(F195,Settings!G:H,2,FALSE))</f>
        <v/>
      </c>
      <c r="H195" s="25"/>
      <c r="AL195" s="29">
        <f t="shared" si="17"/>
        <v>1</v>
      </c>
      <c r="AM195" s="29"/>
      <c r="AN195" s="29" t="str">
        <f>IF(ISNA(VLOOKUP(AM195,Settings!G:H,2,FALSE)),"",VLOOKUP(AM195,Settings!G:H,2,FALSE))</f>
        <v/>
      </c>
      <c r="AO195" s="30" t="str">
        <f t="shared" si="20"/>
        <v xml:space="preserve">O                                    </v>
      </c>
      <c r="AP195" s="29" t="s">
        <v>9</v>
      </c>
    </row>
    <row r="196" spans="2:42">
      <c r="B196" s="24">
        <v>182</v>
      </c>
      <c r="C196" s="24" t="str">
        <f t="shared" si="16"/>
        <v/>
      </c>
      <c r="D196" s="24" t="str">
        <f>IF(ISERROR(VLOOKUP(C196,Settings!A:B,2,FALSE)),C196,VLOOKUP(C196,Settings!A:B,2,FALSE))</f>
        <v/>
      </c>
      <c r="E196" s="30" t="str">
        <f t="shared" si="18"/>
        <v>H</v>
      </c>
      <c r="F196" s="24" t="str">
        <f t="shared" si="19"/>
        <v/>
      </c>
      <c r="G196" s="24" t="str">
        <f>IF(ISNA(VLOOKUP(F196,Settings!G:H,2,FALSE)),"",VLOOKUP(F196,Settings!G:H,2,FALSE))</f>
        <v/>
      </c>
      <c r="H196" s="25"/>
      <c r="AL196" s="29">
        <f t="shared" si="17"/>
        <v>2</v>
      </c>
      <c r="AM196" s="29"/>
      <c r="AN196" s="29" t="str">
        <f>IF(ISNA(VLOOKUP(AM196,Settings!G:H,2,FALSE)),"",VLOOKUP(AM196,Settings!G:H,2,FALSE))</f>
        <v/>
      </c>
      <c r="AO196" s="30" t="str">
        <f t="shared" si="20"/>
        <v xml:space="preserve">O                                    </v>
      </c>
      <c r="AP196" s="29" t="s">
        <v>9</v>
      </c>
    </row>
    <row r="197" spans="2:42">
      <c r="B197" s="24">
        <v>183</v>
      </c>
      <c r="C197" s="24" t="str">
        <f t="shared" si="16"/>
        <v/>
      </c>
      <c r="D197" s="24" t="str">
        <f>IF(ISERROR(VLOOKUP(C197,Settings!A:B,2,FALSE)),C197,VLOOKUP(C197,Settings!A:B,2,FALSE))</f>
        <v/>
      </c>
      <c r="E197" s="30" t="str">
        <f t="shared" si="18"/>
        <v>H</v>
      </c>
      <c r="F197" s="24" t="str">
        <f t="shared" si="19"/>
        <v/>
      </c>
      <c r="G197" s="24" t="str">
        <f>IF(ISNA(VLOOKUP(F197,Settings!G:H,2,FALSE)),"",VLOOKUP(F197,Settings!G:H,2,FALSE))</f>
        <v/>
      </c>
      <c r="H197" s="25"/>
      <c r="AL197" s="29">
        <f t="shared" si="17"/>
        <v>3</v>
      </c>
      <c r="AM197" s="29"/>
      <c r="AN197" s="29" t="str">
        <f>IF(ISNA(VLOOKUP(AM197,Settings!G:H,2,FALSE)),"",VLOOKUP(AM197,Settings!G:H,2,FALSE))</f>
        <v/>
      </c>
      <c r="AO197" s="30" t="str">
        <f t="shared" si="20"/>
        <v xml:space="preserve">O                                    </v>
      </c>
      <c r="AP197" s="29" t="s">
        <v>9</v>
      </c>
    </row>
    <row r="198" spans="2:42">
      <c r="B198" s="24">
        <v>184</v>
      </c>
      <c r="C198" s="24" t="str">
        <f t="shared" si="16"/>
        <v/>
      </c>
      <c r="D198" s="24" t="str">
        <f>IF(ISERROR(VLOOKUP(C198,Settings!A:B,2,FALSE)),C198,VLOOKUP(C198,Settings!A:B,2,FALSE))</f>
        <v/>
      </c>
      <c r="E198" s="30" t="str">
        <f t="shared" si="18"/>
        <v>H</v>
      </c>
      <c r="F198" s="24" t="str">
        <f t="shared" si="19"/>
        <v/>
      </c>
      <c r="G198" s="24" t="str">
        <f>IF(ISNA(VLOOKUP(F198,Settings!G:H,2,FALSE)),"",VLOOKUP(F198,Settings!G:H,2,FALSE))</f>
        <v/>
      </c>
      <c r="H198" s="25"/>
      <c r="AL198" s="29">
        <f t="shared" si="17"/>
        <v>4</v>
      </c>
      <c r="AM198" s="29"/>
      <c r="AN198" s="29" t="str">
        <f>IF(ISNA(VLOOKUP(AM198,Settings!G:H,2,FALSE)),"",VLOOKUP(AM198,Settings!G:H,2,FALSE))</f>
        <v/>
      </c>
      <c r="AO198" s="30" t="str">
        <f t="shared" si="20"/>
        <v xml:space="preserve">O                                    </v>
      </c>
      <c r="AP198" s="29" t="s">
        <v>9</v>
      </c>
    </row>
    <row r="199" spans="2:42">
      <c r="B199" s="24">
        <v>185</v>
      </c>
      <c r="C199" s="24" t="str">
        <f t="shared" si="16"/>
        <v/>
      </c>
      <c r="D199" s="24" t="str">
        <f>IF(ISERROR(VLOOKUP(C199,Settings!A:B,2,FALSE)),C199,VLOOKUP(C199,Settings!A:B,2,FALSE))</f>
        <v/>
      </c>
      <c r="E199" s="30" t="str">
        <f t="shared" si="18"/>
        <v>H</v>
      </c>
      <c r="F199" s="24" t="str">
        <f t="shared" si="19"/>
        <v/>
      </c>
      <c r="G199" s="24" t="str">
        <f>IF(ISNA(VLOOKUP(F199,Settings!G:H,2,FALSE)),"",VLOOKUP(F199,Settings!G:H,2,FALSE))</f>
        <v/>
      </c>
      <c r="H199" s="25"/>
      <c r="AL199" s="29">
        <f t="shared" si="17"/>
        <v>5</v>
      </c>
      <c r="AM199" s="29"/>
      <c r="AN199" s="29" t="str">
        <f>IF(ISNA(VLOOKUP(AM199,Settings!G:H,2,FALSE)),"",VLOOKUP(AM199,Settings!G:H,2,FALSE))</f>
        <v/>
      </c>
      <c r="AO199" s="30" t="str">
        <f t="shared" si="20"/>
        <v xml:space="preserve">O                                    </v>
      </c>
      <c r="AP199" s="29" t="s">
        <v>9</v>
      </c>
    </row>
    <row r="200" spans="2:42">
      <c r="B200" s="24">
        <v>186</v>
      </c>
      <c r="C200" s="24" t="str">
        <f t="shared" si="16"/>
        <v/>
      </c>
      <c r="D200" s="24" t="str">
        <f>IF(ISERROR(VLOOKUP(C200,Settings!A:B,2,FALSE)),C200,VLOOKUP(C200,Settings!A:B,2,FALSE))</f>
        <v/>
      </c>
      <c r="E200" s="30" t="str">
        <f t="shared" si="18"/>
        <v>H</v>
      </c>
      <c r="F200" s="24" t="str">
        <f t="shared" si="19"/>
        <v/>
      </c>
      <c r="G200" s="24" t="str">
        <f>IF(ISNA(VLOOKUP(F200,Settings!G:H,2,FALSE)),"",VLOOKUP(F200,Settings!G:H,2,FALSE))</f>
        <v/>
      </c>
      <c r="H200" s="25"/>
      <c r="AL200" s="29">
        <f t="shared" si="17"/>
        <v>1</v>
      </c>
      <c r="AM200" s="29"/>
      <c r="AN200" s="29" t="str">
        <f>IF(ISNA(VLOOKUP(AM200,Settings!G:H,2,FALSE)),"",VLOOKUP(AM200,Settings!G:H,2,FALSE))</f>
        <v/>
      </c>
      <c r="AO200" s="30" t="str">
        <f t="shared" si="20"/>
        <v xml:space="preserve">O                                     </v>
      </c>
      <c r="AP200" s="29" t="s">
        <v>9</v>
      </c>
    </row>
    <row r="201" spans="2:42">
      <c r="B201" s="24">
        <v>187</v>
      </c>
      <c r="C201" s="24" t="str">
        <f t="shared" si="16"/>
        <v/>
      </c>
      <c r="D201" s="24" t="str">
        <f>IF(ISERROR(VLOOKUP(C201,Settings!A:B,2,FALSE)),C201,VLOOKUP(C201,Settings!A:B,2,FALSE))</f>
        <v/>
      </c>
      <c r="E201" s="30" t="str">
        <f t="shared" si="18"/>
        <v>H</v>
      </c>
      <c r="F201" s="24" t="str">
        <f t="shared" si="19"/>
        <v/>
      </c>
      <c r="G201" s="24" t="str">
        <f>IF(ISNA(VLOOKUP(F201,Settings!G:H,2,FALSE)),"",VLOOKUP(F201,Settings!G:H,2,FALSE))</f>
        <v/>
      </c>
      <c r="H201" s="25"/>
      <c r="AL201" s="29">
        <f t="shared" si="17"/>
        <v>2</v>
      </c>
      <c r="AM201" s="29"/>
      <c r="AN201" s="29" t="str">
        <f>IF(ISNA(VLOOKUP(AM201,Settings!G:H,2,FALSE)),"",VLOOKUP(AM201,Settings!G:H,2,FALSE))</f>
        <v/>
      </c>
      <c r="AO201" s="30" t="str">
        <f t="shared" si="20"/>
        <v xml:space="preserve">O                                     </v>
      </c>
      <c r="AP201" s="29" t="s">
        <v>9</v>
      </c>
    </row>
    <row r="202" spans="2:42">
      <c r="B202" s="24">
        <v>188</v>
      </c>
      <c r="C202" s="24" t="str">
        <f t="shared" si="16"/>
        <v/>
      </c>
      <c r="D202" s="24" t="str">
        <f>IF(ISERROR(VLOOKUP(C202,Settings!A:B,2,FALSE)),C202,VLOOKUP(C202,Settings!A:B,2,FALSE))</f>
        <v/>
      </c>
      <c r="E202" s="30" t="str">
        <f t="shared" si="18"/>
        <v>H</v>
      </c>
      <c r="F202" s="24" t="str">
        <f t="shared" si="19"/>
        <v/>
      </c>
      <c r="G202" s="24" t="str">
        <f>IF(ISNA(VLOOKUP(F202,Settings!G:H,2,FALSE)),"",VLOOKUP(F202,Settings!G:H,2,FALSE))</f>
        <v/>
      </c>
      <c r="H202" s="25"/>
      <c r="AL202" s="29">
        <f t="shared" si="17"/>
        <v>3</v>
      </c>
      <c r="AM202" s="29"/>
      <c r="AN202" s="29" t="str">
        <f>IF(ISNA(VLOOKUP(AM202,Settings!G:H,2,FALSE)),"",VLOOKUP(AM202,Settings!G:H,2,FALSE))</f>
        <v/>
      </c>
      <c r="AO202" s="30" t="str">
        <f t="shared" si="20"/>
        <v xml:space="preserve">O                                     </v>
      </c>
      <c r="AP202" s="29" t="s">
        <v>9</v>
      </c>
    </row>
    <row r="203" spans="2:42">
      <c r="B203" s="24">
        <v>189</v>
      </c>
      <c r="C203" s="24" t="str">
        <f t="shared" si="16"/>
        <v/>
      </c>
      <c r="D203" s="24" t="str">
        <f>IF(ISERROR(VLOOKUP(C203,Settings!A:B,2,FALSE)),C203,VLOOKUP(C203,Settings!A:B,2,FALSE))</f>
        <v/>
      </c>
      <c r="E203" s="30" t="str">
        <f t="shared" si="18"/>
        <v>H</v>
      </c>
      <c r="F203" s="24" t="str">
        <f t="shared" si="19"/>
        <v/>
      </c>
      <c r="G203" s="24" t="str">
        <f>IF(ISNA(VLOOKUP(F203,Settings!G:H,2,FALSE)),"",VLOOKUP(F203,Settings!G:H,2,FALSE))</f>
        <v/>
      </c>
      <c r="H203" s="25"/>
      <c r="AL203" s="29">
        <f t="shared" si="17"/>
        <v>4</v>
      </c>
      <c r="AM203" s="29"/>
      <c r="AN203" s="29" t="str">
        <f>IF(ISNA(VLOOKUP(AM203,Settings!G:H,2,FALSE)),"",VLOOKUP(AM203,Settings!G:H,2,FALSE))</f>
        <v/>
      </c>
      <c r="AO203" s="30" t="str">
        <f t="shared" si="20"/>
        <v xml:space="preserve">O                                     </v>
      </c>
      <c r="AP203" s="29" t="s">
        <v>9</v>
      </c>
    </row>
    <row r="204" spans="2:42">
      <c r="B204" s="24">
        <v>190</v>
      </c>
      <c r="C204" s="24" t="str">
        <f t="shared" si="16"/>
        <v/>
      </c>
      <c r="D204" s="24" t="str">
        <f>IF(ISERROR(VLOOKUP(C204,Settings!A:B,2,FALSE)),C204,VLOOKUP(C204,Settings!A:B,2,FALSE))</f>
        <v/>
      </c>
      <c r="E204" s="30" t="str">
        <f t="shared" si="18"/>
        <v>H</v>
      </c>
      <c r="F204" s="24" t="str">
        <f t="shared" si="19"/>
        <v/>
      </c>
      <c r="G204" s="24" t="str">
        <f>IF(ISNA(VLOOKUP(F204,Settings!G:H,2,FALSE)),"",VLOOKUP(F204,Settings!G:H,2,FALSE))</f>
        <v/>
      </c>
      <c r="H204" s="25"/>
      <c r="AL204" s="29">
        <f t="shared" si="17"/>
        <v>5</v>
      </c>
      <c r="AM204" s="29"/>
      <c r="AN204" s="29" t="str">
        <f>IF(ISNA(VLOOKUP(AM204,Settings!G:H,2,FALSE)),"",VLOOKUP(AM204,Settings!G:H,2,FALSE))</f>
        <v/>
      </c>
      <c r="AO204" s="30" t="str">
        <f t="shared" si="20"/>
        <v xml:space="preserve">O                                     </v>
      </c>
      <c r="AP204" s="29" t="s">
        <v>9</v>
      </c>
    </row>
    <row r="205" spans="2:42">
      <c r="B205" s="24">
        <v>191</v>
      </c>
      <c r="C205" s="24" t="str">
        <f t="shared" si="16"/>
        <v/>
      </c>
      <c r="D205" s="24" t="str">
        <f>IF(ISERROR(VLOOKUP(C205,Settings!A:B,2,FALSE)),C205,VLOOKUP(C205,Settings!A:B,2,FALSE))</f>
        <v/>
      </c>
      <c r="E205" s="30" t="str">
        <f t="shared" si="18"/>
        <v>H</v>
      </c>
      <c r="F205" s="24" t="str">
        <f t="shared" si="19"/>
        <v/>
      </c>
      <c r="G205" s="24" t="str">
        <f>IF(ISNA(VLOOKUP(F205,Settings!G:H,2,FALSE)),"",VLOOKUP(F205,Settings!G:H,2,FALSE))</f>
        <v/>
      </c>
      <c r="H205" s="25"/>
      <c r="AL205" s="29">
        <f t="shared" si="17"/>
        <v>1</v>
      </c>
      <c r="AM205" s="29"/>
      <c r="AN205" s="29" t="str">
        <f>IF(ISNA(VLOOKUP(AM205,Settings!G:H,2,FALSE)),"",VLOOKUP(AM205,Settings!G:H,2,FALSE))</f>
        <v/>
      </c>
      <c r="AO205" s="30" t="str">
        <f t="shared" si="20"/>
        <v xml:space="preserve">O                                      </v>
      </c>
      <c r="AP205" s="29" t="s">
        <v>9</v>
      </c>
    </row>
    <row r="206" spans="2:42">
      <c r="B206" s="24">
        <v>192</v>
      </c>
      <c r="C206" s="24" t="str">
        <f t="shared" si="16"/>
        <v/>
      </c>
      <c r="D206" s="24" t="str">
        <f>IF(ISERROR(VLOOKUP(C206,Settings!A:B,2,FALSE)),C206,VLOOKUP(C206,Settings!A:B,2,FALSE))</f>
        <v/>
      </c>
      <c r="E206" s="30" t="str">
        <f t="shared" si="18"/>
        <v>H</v>
      </c>
      <c r="F206" s="24" t="str">
        <f t="shared" si="19"/>
        <v/>
      </c>
      <c r="G206" s="24" t="str">
        <f>IF(ISNA(VLOOKUP(F206,Settings!G:H,2,FALSE)),"",VLOOKUP(F206,Settings!G:H,2,FALSE))</f>
        <v/>
      </c>
      <c r="H206" s="25"/>
      <c r="AL206" s="29">
        <f t="shared" si="17"/>
        <v>2</v>
      </c>
      <c r="AM206" s="29"/>
      <c r="AN206" s="29" t="str">
        <f>IF(ISNA(VLOOKUP(AM206,Settings!G:H,2,FALSE)),"",VLOOKUP(AM206,Settings!G:H,2,FALSE))</f>
        <v/>
      </c>
      <c r="AO206" s="30" t="str">
        <f t="shared" si="20"/>
        <v xml:space="preserve">O                                      </v>
      </c>
      <c r="AP206" s="29" t="s">
        <v>9</v>
      </c>
    </row>
    <row r="207" spans="2:42">
      <c r="B207" s="24">
        <v>193</v>
      </c>
      <c r="C207" s="24" t="str">
        <f t="shared" si="16"/>
        <v/>
      </c>
      <c r="D207" s="24" t="str">
        <f>IF(ISERROR(VLOOKUP(C207,Settings!A:B,2,FALSE)),C207,VLOOKUP(C207,Settings!A:B,2,FALSE))</f>
        <v/>
      </c>
      <c r="E207" s="30" t="str">
        <f t="shared" si="18"/>
        <v>H</v>
      </c>
      <c r="F207" s="24" t="str">
        <f t="shared" si="19"/>
        <v/>
      </c>
      <c r="G207" s="24" t="str">
        <f>IF(ISNA(VLOOKUP(F207,Settings!G:H,2,FALSE)),"",VLOOKUP(F207,Settings!G:H,2,FALSE))</f>
        <v/>
      </c>
      <c r="H207" s="25"/>
      <c r="AL207" s="29">
        <f t="shared" si="17"/>
        <v>3</v>
      </c>
      <c r="AM207" s="29"/>
      <c r="AN207" s="29" t="str">
        <f>IF(ISNA(VLOOKUP(AM207,Settings!G:H,2,FALSE)),"",VLOOKUP(AM207,Settings!G:H,2,FALSE))</f>
        <v/>
      </c>
      <c r="AO207" s="30" t="str">
        <f t="shared" si="20"/>
        <v xml:space="preserve">O                                      </v>
      </c>
      <c r="AP207" s="29" t="s">
        <v>9</v>
      </c>
    </row>
    <row r="208" spans="2:42">
      <c r="B208" s="24">
        <v>194</v>
      </c>
      <c r="C208" s="24" t="str">
        <f t="shared" ref="C208:C271" si="21">MID(Inputtext,B208,1)</f>
        <v/>
      </c>
      <c r="D208" s="24" t="str">
        <f>IF(ISERROR(VLOOKUP(C208,Settings!A:B,2,FALSE)),C208,VLOOKUP(C208,Settings!A:B,2,FALSE))</f>
        <v/>
      </c>
      <c r="E208" s="30" t="str">
        <f t="shared" si="18"/>
        <v>H</v>
      </c>
      <c r="F208" s="24" t="str">
        <f t="shared" si="19"/>
        <v/>
      </c>
      <c r="G208" s="24" t="str">
        <f>IF(ISNA(VLOOKUP(F208,Settings!G:H,2,FALSE)),"",VLOOKUP(F208,Settings!G:H,2,FALSE))</f>
        <v/>
      </c>
      <c r="H208" s="25"/>
      <c r="AL208" s="29">
        <f t="shared" ref="AL208:AL271" si="22">IF(AL207=5,1,AL207+1)</f>
        <v>4</v>
      </c>
      <c r="AM208" s="29"/>
      <c r="AN208" s="29" t="str">
        <f>IF(ISNA(VLOOKUP(AM208,Settings!G:H,2,FALSE)),"",VLOOKUP(AM208,Settings!G:H,2,FALSE))</f>
        <v/>
      </c>
      <c r="AO208" s="30" t="str">
        <f t="shared" si="20"/>
        <v xml:space="preserve">O                                      </v>
      </c>
      <c r="AP208" s="29" t="s">
        <v>9</v>
      </c>
    </row>
    <row r="209" spans="2:42">
      <c r="B209" s="24">
        <v>195</v>
      </c>
      <c r="C209" s="24" t="str">
        <f t="shared" si="21"/>
        <v/>
      </c>
      <c r="D209" s="24" t="str">
        <f>IF(ISERROR(VLOOKUP(C209,Settings!A:B,2,FALSE)),C209,VLOOKUP(C209,Settings!A:B,2,FALSE))</f>
        <v/>
      </c>
      <c r="E209" s="30" t="str">
        <f t="shared" ref="E209:E272" si="23">E208&amp;UPPER(D209)</f>
        <v>H</v>
      </c>
      <c r="F209" s="24" t="str">
        <f t="shared" ref="F209:F272" si="24">MID($E$514,B209,1)</f>
        <v/>
      </c>
      <c r="G209" s="24" t="str">
        <f>IF(ISNA(VLOOKUP(F209,Settings!G:H,2,FALSE)),"",VLOOKUP(F209,Settings!G:H,2,FALSE))</f>
        <v/>
      </c>
      <c r="H209" s="25"/>
      <c r="AL209" s="29">
        <f t="shared" si="22"/>
        <v>5</v>
      </c>
      <c r="AM209" s="29"/>
      <c r="AN209" s="29" t="str">
        <f>IF(ISNA(VLOOKUP(AM209,Settings!G:H,2,FALSE)),"",VLOOKUP(AM209,Settings!G:H,2,FALSE))</f>
        <v/>
      </c>
      <c r="AO209" s="30" t="str">
        <f t="shared" ref="AO209:AO272" si="25">IF(AL209=1,AO208&amp;" "&amp;AN209,AO208&amp;AN209)</f>
        <v xml:space="preserve">O                                      </v>
      </c>
      <c r="AP209" s="29" t="s">
        <v>9</v>
      </c>
    </row>
    <row r="210" spans="2:42">
      <c r="B210" s="24">
        <v>196</v>
      </c>
      <c r="C210" s="24" t="str">
        <f t="shared" si="21"/>
        <v/>
      </c>
      <c r="D210" s="24" t="str">
        <f>IF(ISERROR(VLOOKUP(C210,Settings!A:B,2,FALSE)),C210,VLOOKUP(C210,Settings!A:B,2,FALSE))</f>
        <v/>
      </c>
      <c r="E210" s="30" t="str">
        <f t="shared" si="23"/>
        <v>H</v>
      </c>
      <c r="F210" s="24" t="str">
        <f t="shared" si="24"/>
        <v/>
      </c>
      <c r="G210" s="24" t="str">
        <f>IF(ISNA(VLOOKUP(F210,Settings!G:H,2,FALSE)),"",VLOOKUP(F210,Settings!G:H,2,FALSE))</f>
        <v/>
      </c>
      <c r="H210" s="25"/>
      <c r="AL210" s="29">
        <f t="shared" si="22"/>
        <v>1</v>
      </c>
      <c r="AM210" s="29"/>
      <c r="AN210" s="29" t="str">
        <f>IF(ISNA(VLOOKUP(AM210,Settings!G:H,2,FALSE)),"",VLOOKUP(AM210,Settings!G:H,2,FALSE))</f>
        <v/>
      </c>
      <c r="AO210" s="30" t="str">
        <f t="shared" si="25"/>
        <v xml:space="preserve">O                                       </v>
      </c>
      <c r="AP210" s="29" t="s">
        <v>9</v>
      </c>
    </row>
    <row r="211" spans="2:42">
      <c r="B211" s="24">
        <v>197</v>
      </c>
      <c r="C211" s="24" t="str">
        <f t="shared" si="21"/>
        <v/>
      </c>
      <c r="D211" s="24" t="str">
        <f>IF(ISERROR(VLOOKUP(C211,Settings!A:B,2,FALSE)),C211,VLOOKUP(C211,Settings!A:B,2,FALSE))</f>
        <v/>
      </c>
      <c r="E211" s="30" t="str">
        <f t="shared" si="23"/>
        <v>H</v>
      </c>
      <c r="F211" s="24" t="str">
        <f t="shared" si="24"/>
        <v/>
      </c>
      <c r="G211" s="24" t="str">
        <f>IF(ISNA(VLOOKUP(F211,Settings!G:H,2,FALSE)),"",VLOOKUP(F211,Settings!G:H,2,FALSE))</f>
        <v/>
      </c>
      <c r="H211" s="25"/>
      <c r="AL211" s="29">
        <f t="shared" si="22"/>
        <v>2</v>
      </c>
      <c r="AM211" s="29"/>
      <c r="AN211" s="29" t="str">
        <f>IF(ISNA(VLOOKUP(AM211,Settings!G:H,2,FALSE)),"",VLOOKUP(AM211,Settings!G:H,2,FALSE))</f>
        <v/>
      </c>
      <c r="AO211" s="30" t="str">
        <f t="shared" si="25"/>
        <v xml:space="preserve">O                                       </v>
      </c>
      <c r="AP211" s="29" t="s">
        <v>9</v>
      </c>
    </row>
    <row r="212" spans="2:42">
      <c r="B212" s="24">
        <v>198</v>
      </c>
      <c r="C212" s="24" t="str">
        <f t="shared" si="21"/>
        <v/>
      </c>
      <c r="D212" s="24" t="str">
        <f>IF(ISERROR(VLOOKUP(C212,Settings!A:B,2,FALSE)),C212,VLOOKUP(C212,Settings!A:B,2,FALSE))</f>
        <v/>
      </c>
      <c r="E212" s="30" t="str">
        <f t="shared" si="23"/>
        <v>H</v>
      </c>
      <c r="F212" s="24" t="str">
        <f t="shared" si="24"/>
        <v/>
      </c>
      <c r="G212" s="24" t="str">
        <f>IF(ISNA(VLOOKUP(F212,Settings!G:H,2,FALSE)),"",VLOOKUP(F212,Settings!G:H,2,FALSE))</f>
        <v/>
      </c>
      <c r="H212" s="25"/>
      <c r="AL212" s="29">
        <f t="shared" si="22"/>
        <v>3</v>
      </c>
      <c r="AM212" s="29"/>
      <c r="AN212" s="29" t="str">
        <f>IF(ISNA(VLOOKUP(AM212,Settings!G:H,2,FALSE)),"",VLOOKUP(AM212,Settings!G:H,2,FALSE))</f>
        <v/>
      </c>
      <c r="AO212" s="30" t="str">
        <f t="shared" si="25"/>
        <v xml:space="preserve">O                                       </v>
      </c>
      <c r="AP212" s="29" t="s">
        <v>9</v>
      </c>
    </row>
    <row r="213" spans="2:42">
      <c r="B213" s="24">
        <v>199</v>
      </c>
      <c r="C213" s="24" t="str">
        <f t="shared" si="21"/>
        <v/>
      </c>
      <c r="D213" s="24" t="str">
        <f>IF(ISERROR(VLOOKUP(C213,Settings!A:B,2,FALSE)),C213,VLOOKUP(C213,Settings!A:B,2,FALSE))</f>
        <v/>
      </c>
      <c r="E213" s="30" t="str">
        <f t="shared" si="23"/>
        <v>H</v>
      </c>
      <c r="F213" s="24" t="str">
        <f t="shared" si="24"/>
        <v/>
      </c>
      <c r="G213" s="24" t="str">
        <f>IF(ISNA(VLOOKUP(F213,Settings!G:H,2,FALSE)),"",VLOOKUP(F213,Settings!G:H,2,FALSE))</f>
        <v/>
      </c>
      <c r="H213" s="25"/>
      <c r="AL213" s="29">
        <f t="shared" si="22"/>
        <v>4</v>
      </c>
      <c r="AM213" s="29"/>
      <c r="AN213" s="29" t="str">
        <f>IF(ISNA(VLOOKUP(AM213,Settings!G:H,2,FALSE)),"",VLOOKUP(AM213,Settings!G:H,2,FALSE))</f>
        <v/>
      </c>
      <c r="AO213" s="30" t="str">
        <f t="shared" si="25"/>
        <v xml:space="preserve">O                                       </v>
      </c>
      <c r="AP213" s="29" t="s">
        <v>9</v>
      </c>
    </row>
    <row r="214" spans="2:42">
      <c r="B214" s="24">
        <v>200</v>
      </c>
      <c r="C214" s="24" t="str">
        <f t="shared" si="21"/>
        <v/>
      </c>
      <c r="D214" s="24" t="str">
        <f>IF(ISERROR(VLOOKUP(C214,Settings!A:B,2,FALSE)),C214,VLOOKUP(C214,Settings!A:B,2,FALSE))</f>
        <v/>
      </c>
      <c r="E214" s="30" t="str">
        <f t="shared" si="23"/>
        <v>H</v>
      </c>
      <c r="F214" s="24" t="str">
        <f t="shared" si="24"/>
        <v/>
      </c>
      <c r="G214" s="24" t="str">
        <f>IF(ISNA(VLOOKUP(F214,Settings!G:H,2,FALSE)),"",VLOOKUP(F214,Settings!G:H,2,FALSE))</f>
        <v/>
      </c>
      <c r="H214" s="25"/>
      <c r="AL214" s="29">
        <f t="shared" si="22"/>
        <v>5</v>
      </c>
      <c r="AM214" s="29"/>
      <c r="AN214" s="29" t="str">
        <f>IF(ISNA(VLOOKUP(AM214,Settings!G:H,2,FALSE)),"",VLOOKUP(AM214,Settings!G:H,2,FALSE))</f>
        <v/>
      </c>
      <c r="AO214" s="30" t="str">
        <f t="shared" si="25"/>
        <v xml:space="preserve">O                                       </v>
      </c>
      <c r="AP214" s="29" t="s">
        <v>9</v>
      </c>
    </row>
    <row r="215" spans="2:42">
      <c r="B215" s="24">
        <v>201</v>
      </c>
      <c r="C215" s="24" t="str">
        <f t="shared" si="21"/>
        <v/>
      </c>
      <c r="D215" s="24" t="str">
        <f>IF(ISERROR(VLOOKUP(C215,Settings!A:B,2,FALSE)),C215,VLOOKUP(C215,Settings!A:B,2,FALSE))</f>
        <v/>
      </c>
      <c r="E215" s="30" t="str">
        <f t="shared" si="23"/>
        <v>H</v>
      </c>
      <c r="F215" s="24" t="str">
        <f t="shared" si="24"/>
        <v/>
      </c>
      <c r="G215" s="24" t="str">
        <f>IF(ISNA(VLOOKUP(F215,Settings!G:H,2,FALSE)),"",VLOOKUP(F215,Settings!G:H,2,FALSE))</f>
        <v/>
      </c>
      <c r="H215" s="25"/>
      <c r="AL215" s="29">
        <f t="shared" si="22"/>
        <v>1</v>
      </c>
      <c r="AM215" s="29"/>
      <c r="AN215" s="29" t="str">
        <f>IF(ISNA(VLOOKUP(AM215,Settings!G:H,2,FALSE)),"",VLOOKUP(AM215,Settings!G:H,2,FALSE))</f>
        <v/>
      </c>
      <c r="AO215" s="30" t="str">
        <f t="shared" si="25"/>
        <v xml:space="preserve">O                                        </v>
      </c>
      <c r="AP215" s="29" t="s">
        <v>9</v>
      </c>
    </row>
    <row r="216" spans="2:42">
      <c r="B216" s="24">
        <v>202</v>
      </c>
      <c r="C216" s="24" t="str">
        <f t="shared" si="21"/>
        <v/>
      </c>
      <c r="D216" s="24" t="str">
        <f>IF(ISERROR(VLOOKUP(C216,Settings!A:B,2,FALSE)),C216,VLOOKUP(C216,Settings!A:B,2,FALSE))</f>
        <v/>
      </c>
      <c r="E216" s="30" t="str">
        <f t="shared" si="23"/>
        <v>H</v>
      </c>
      <c r="F216" s="24" t="str">
        <f t="shared" si="24"/>
        <v/>
      </c>
      <c r="G216" s="24" t="str">
        <f>IF(ISNA(VLOOKUP(F216,Settings!G:H,2,FALSE)),"",VLOOKUP(F216,Settings!G:H,2,FALSE))</f>
        <v/>
      </c>
      <c r="H216" s="25"/>
      <c r="AL216" s="29">
        <f t="shared" si="22"/>
        <v>2</v>
      </c>
      <c r="AM216" s="29"/>
      <c r="AN216" s="29" t="str">
        <f>IF(ISNA(VLOOKUP(AM216,Settings!G:H,2,FALSE)),"",VLOOKUP(AM216,Settings!G:H,2,FALSE))</f>
        <v/>
      </c>
      <c r="AO216" s="30" t="str">
        <f t="shared" si="25"/>
        <v xml:space="preserve">O                                        </v>
      </c>
      <c r="AP216" s="29" t="s">
        <v>9</v>
      </c>
    </row>
    <row r="217" spans="2:42">
      <c r="B217" s="24">
        <v>203</v>
      </c>
      <c r="C217" s="24" t="str">
        <f t="shared" si="21"/>
        <v/>
      </c>
      <c r="D217" s="24" t="str">
        <f>IF(ISERROR(VLOOKUP(C217,Settings!A:B,2,FALSE)),C217,VLOOKUP(C217,Settings!A:B,2,FALSE))</f>
        <v/>
      </c>
      <c r="E217" s="30" t="str">
        <f t="shared" si="23"/>
        <v>H</v>
      </c>
      <c r="F217" s="24" t="str">
        <f t="shared" si="24"/>
        <v/>
      </c>
      <c r="G217" s="24" t="str">
        <f>IF(ISNA(VLOOKUP(F217,Settings!G:H,2,FALSE)),"",VLOOKUP(F217,Settings!G:H,2,FALSE))</f>
        <v/>
      </c>
      <c r="H217" s="25"/>
      <c r="AL217" s="29">
        <f t="shared" si="22"/>
        <v>3</v>
      </c>
      <c r="AM217" s="29"/>
      <c r="AN217" s="29" t="str">
        <f>IF(ISNA(VLOOKUP(AM217,Settings!G:H,2,FALSE)),"",VLOOKUP(AM217,Settings!G:H,2,FALSE))</f>
        <v/>
      </c>
      <c r="AO217" s="30" t="str">
        <f t="shared" si="25"/>
        <v xml:space="preserve">O                                        </v>
      </c>
      <c r="AP217" s="29" t="s">
        <v>9</v>
      </c>
    </row>
    <row r="218" spans="2:42">
      <c r="B218" s="24">
        <v>204</v>
      </c>
      <c r="C218" s="24" t="str">
        <f t="shared" si="21"/>
        <v/>
      </c>
      <c r="D218" s="24" t="str">
        <f>IF(ISERROR(VLOOKUP(C218,Settings!A:B,2,FALSE)),C218,VLOOKUP(C218,Settings!A:B,2,FALSE))</f>
        <v/>
      </c>
      <c r="E218" s="30" t="str">
        <f t="shared" si="23"/>
        <v>H</v>
      </c>
      <c r="F218" s="24" t="str">
        <f t="shared" si="24"/>
        <v/>
      </c>
      <c r="G218" s="24" t="str">
        <f>IF(ISNA(VLOOKUP(F218,Settings!G:H,2,FALSE)),"",VLOOKUP(F218,Settings!G:H,2,FALSE))</f>
        <v/>
      </c>
      <c r="H218" s="25"/>
      <c r="AL218" s="29">
        <f t="shared" si="22"/>
        <v>4</v>
      </c>
      <c r="AM218" s="29"/>
      <c r="AN218" s="29" t="str">
        <f>IF(ISNA(VLOOKUP(AM218,Settings!G:H,2,FALSE)),"",VLOOKUP(AM218,Settings!G:H,2,FALSE))</f>
        <v/>
      </c>
      <c r="AO218" s="30" t="str">
        <f t="shared" si="25"/>
        <v xml:space="preserve">O                                        </v>
      </c>
      <c r="AP218" s="29" t="s">
        <v>9</v>
      </c>
    </row>
    <row r="219" spans="2:42">
      <c r="B219" s="24">
        <v>205</v>
      </c>
      <c r="C219" s="24" t="str">
        <f t="shared" si="21"/>
        <v/>
      </c>
      <c r="D219" s="24" t="str">
        <f>IF(ISERROR(VLOOKUP(C219,Settings!A:B,2,FALSE)),C219,VLOOKUP(C219,Settings!A:B,2,FALSE))</f>
        <v/>
      </c>
      <c r="E219" s="30" t="str">
        <f t="shared" si="23"/>
        <v>H</v>
      </c>
      <c r="F219" s="24" t="str">
        <f t="shared" si="24"/>
        <v/>
      </c>
      <c r="G219" s="24" t="str">
        <f>IF(ISNA(VLOOKUP(F219,Settings!G:H,2,FALSE)),"",VLOOKUP(F219,Settings!G:H,2,FALSE))</f>
        <v/>
      </c>
      <c r="H219" s="25"/>
      <c r="AL219" s="29">
        <f t="shared" si="22"/>
        <v>5</v>
      </c>
      <c r="AM219" s="29"/>
      <c r="AN219" s="29" t="str">
        <f>IF(ISNA(VLOOKUP(AM219,Settings!G:H,2,FALSE)),"",VLOOKUP(AM219,Settings!G:H,2,FALSE))</f>
        <v/>
      </c>
      <c r="AO219" s="30" t="str">
        <f t="shared" si="25"/>
        <v xml:space="preserve">O                                        </v>
      </c>
      <c r="AP219" s="29" t="s">
        <v>9</v>
      </c>
    </row>
    <row r="220" spans="2:42">
      <c r="B220" s="24">
        <v>206</v>
      </c>
      <c r="C220" s="24" t="str">
        <f t="shared" si="21"/>
        <v/>
      </c>
      <c r="D220" s="24" t="str">
        <f>IF(ISERROR(VLOOKUP(C220,Settings!A:B,2,FALSE)),C220,VLOOKUP(C220,Settings!A:B,2,FALSE))</f>
        <v/>
      </c>
      <c r="E220" s="30" t="str">
        <f t="shared" si="23"/>
        <v>H</v>
      </c>
      <c r="F220" s="24" t="str">
        <f t="shared" si="24"/>
        <v/>
      </c>
      <c r="G220" s="24" t="str">
        <f>IF(ISNA(VLOOKUP(F220,Settings!G:H,2,FALSE)),"",VLOOKUP(F220,Settings!G:H,2,FALSE))</f>
        <v/>
      </c>
      <c r="H220" s="25"/>
      <c r="AL220" s="29">
        <f t="shared" si="22"/>
        <v>1</v>
      </c>
      <c r="AM220" s="29"/>
      <c r="AN220" s="29" t="str">
        <f>IF(ISNA(VLOOKUP(AM220,Settings!G:H,2,FALSE)),"",VLOOKUP(AM220,Settings!G:H,2,FALSE))</f>
        <v/>
      </c>
      <c r="AO220" s="30" t="str">
        <f t="shared" si="25"/>
        <v xml:space="preserve">O                                         </v>
      </c>
      <c r="AP220" s="29" t="s">
        <v>9</v>
      </c>
    </row>
    <row r="221" spans="2:42">
      <c r="B221" s="24">
        <v>207</v>
      </c>
      <c r="C221" s="24" t="str">
        <f t="shared" si="21"/>
        <v/>
      </c>
      <c r="D221" s="24" t="str">
        <f>IF(ISERROR(VLOOKUP(C221,Settings!A:B,2,FALSE)),C221,VLOOKUP(C221,Settings!A:B,2,FALSE))</f>
        <v/>
      </c>
      <c r="E221" s="30" t="str">
        <f t="shared" si="23"/>
        <v>H</v>
      </c>
      <c r="F221" s="24" t="str">
        <f t="shared" si="24"/>
        <v/>
      </c>
      <c r="G221" s="24" t="str">
        <f>IF(ISNA(VLOOKUP(F221,Settings!G:H,2,FALSE)),"",VLOOKUP(F221,Settings!G:H,2,FALSE))</f>
        <v/>
      </c>
      <c r="H221" s="25"/>
      <c r="AL221" s="29">
        <f t="shared" si="22"/>
        <v>2</v>
      </c>
      <c r="AM221" s="29"/>
      <c r="AN221" s="29" t="str">
        <f>IF(ISNA(VLOOKUP(AM221,Settings!G:H,2,FALSE)),"",VLOOKUP(AM221,Settings!G:H,2,FALSE))</f>
        <v/>
      </c>
      <c r="AO221" s="30" t="str">
        <f t="shared" si="25"/>
        <v xml:space="preserve">O                                         </v>
      </c>
      <c r="AP221" s="29" t="s">
        <v>9</v>
      </c>
    </row>
    <row r="222" spans="2:42">
      <c r="B222" s="24">
        <v>208</v>
      </c>
      <c r="C222" s="24" t="str">
        <f t="shared" si="21"/>
        <v/>
      </c>
      <c r="D222" s="24" t="str">
        <f>IF(ISERROR(VLOOKUP(C222,Settings!A:B,2,FALSE)),C222,VLOOKUP(C222,Settings!A:B,2,FALSE))</f>
        <v/>
      </c>
      <c r="E222" s="30" t="str">
        <f t="shared" si="23"/>
        <v>H</v>
      </c>
      <c r="F222" s="24" t="str">
        <f t="shared" si="24"/>
        <v/>
      </c>
      <c r="G222" s="24" t="str">
        <f>IF(ISNA(VLOOKUP(F222,Settings!G:H,2,FALSE)),"",VLOOKUP(F222,Settings!G:H,2,FALSE))</f>
        <v/>
      </c>
      <c r="H222" s="25"/>
      <c r="AL222" s="29">
        <f t="shared" si="22"/>
        <v>3</v>
      </c>
      <c r="AM222" s="29"/>
      <c r="AN222" s="29" t="str">
        <f>IF(ISNA(VLOOKUP(AM222,Settings!G:H,2,FALSE)),"",VLOOKUP(AM222,Settings!G:H,2,FALSE))</f>
        <v/>
      </c>
      <c r="AO222" s="30" t="str">
        <f t="shared" si="25"/>
        <v xml:space="preserve">O                                         </v>
      </c>
      <c r="AP222" s="29" t="s">
        <v>9</v>
      </c>
    </row>
    <row r="223" spans="2:42">
      <c r="B223" s="24">
        <v>209</v>
      </c>
      <c r="C223" s="24" t="str">
        <f t="shared" si="21"/>
        <v/>
      </c>
      <c r="D223" s="24" t="str">
        <f>IF(ISERROR(VLOOKUP(C223,Settings!A:B,2,FALSE)),C223,VLOOKUP(C223,Settings!A:B,2,FALSE))</f>
        <v/>
      </c>
      <c r="E223" s="30" t="str">
        <f t="shared" si="23"/>
        <v>H</v>
      </c>
      <c r="F223" s="24" t="str">
        <f t="shared" si="24"/>
        <v/>
      </c>
      <c r="G223" s="24" t="str">
        <f>IF(ISNA(VLOOKUP(F223,Settings!G:H,2,FALSE)),"",VLOOKUP(F223,Settings!G:H,2,FALSE))</f>
        <v/>
      </c>
      <c r="H223" s="25"/>
      <c r="AL223" s="29">
        <f t="shared" si="22"/>
        <v>4</v>
      </c>
      <c r="AM223" s="29"/>
      <c r="AN223" s="29" t="str">
        <f>IF(ISNA(VLOOKUP(AM223,Settings!G:H,2,FALSE)),"",VLOOKUP(AM223,Settings!G:H,2,FALSE))</f>
        <v/>
      </c>
      <c r="AO223" s="30" t="str">
        <f t="shared" si="25"/>
        <v xml:space="preserve">O                                         </v>
      </c>
      <c r="AP223" s="29" t="s">
        <v>9</v>
      </c>
    </row>
    <row r="224" spans="2:42">
      <c r="B224" s="24">
        <v>210</v>
      </c>
      <c r="C224" s="24" t="str">
        <f t="shared" si="21"/>
        <v/>
      </c>
      <c r="D224" s="24" t="str">
        <f>IF(ISERROR(VLOOKUP(C224,Settings!A:B,2,FALSE)),C224,VLOOKUP(C224,Settings!A:B,2,FALSE))</f>
        <v/>
      </c>
      <c r="E224" s="30" t="str">
        <f t="shared" si="23"/>
        <v>H</v>
      </c>
      <c r="F224" s="24" t="str">
        <f t="shared" si="24"/>
        <v/>
      </c>
      <c r="G224" s="24" t="str">
        <f>IF(ISNA(VLOOKUP(F224,Settings!G:H,2,FALSE)),"",VLOOKUP(F224,Settings!G:H,2,FALSE))</f>
        <v/>
      </c>
      <c r="H224" s="25"/>
      <c r="AL224" s="29">
        <f t="shared" si="22"/>
        <v>5</v>
      </c>
      <c r="AM224" s="29"/>
      <c r="AN224" s="29" t="str">
        <f>IF(ISNA(VLOOKUP(AM224,Settings!G:H,2,FALSE)),"",VLOOKUP(AM224,Settings!G:H,2,FALSE))</f>
        <v/>
      </c>
      <c r="AO224" s="30" t="str">
        <f t="shared" si="25"/>
        <v xml:space="preserve">O                                         </v>
      </c>
      <c r="AP224" s="29" t="s">
        <v>9</v>
      </c>
    </row>
    <row r="225" spans="2:42">
      <c r="B225" s="24">
        <v>211</v>
      </c>
      <c r="C225" s="24" t="str">
        <f t="shared" si="21"/>
        <v/>
      </c>
      <c r="D225" s="24" t="str">
        <f>IF(ISERROR(VLOOKUP(C225,Settings!A:B,2,FALSE)),C225,VLOOKUP(C225,Settings!A:B,2,FALSE))</f>
        <v/>
      </c>
      <c r="E225" s="30" t="str">
        <f t="shared" si="23"/>
        <v>H</v>
      </c>
      <c r="F225" s="24" t="str">
        <f t="shared" si="24"/>
        <v/>
      </c>
      <c r="G225" s="24" t="str">
        <f>IF(ISNA(VLOOKUP(F225,Settings!G:H,2,FALSE)),"",VLOOKUP(F225,Settings!G:H,2,FALSE))</f>
        <v/>
      </c>
      <c r="H225" s="25"/>
      <c r="AL225" s="29">
        <f t="shared" si="22"/>
        <v>1</v>
      </c>
      <c r="AM225" s="29"/>
      <c r="AN225" s="29" t="str">
        <f>IF(ISNA(VLOOKUP(AM225,Settings!G:H,2,FALSE)),"",VLOOKUP(AM225,Settings!G:H,2,FALSE))</f>
        <v/>
      </c>
      <c r="AO225" s="30" t="str">
        <f t="shared" si="25"/>
        <v xml:space="preserve">O                                          </v>
      </c>
      <c r="AP225" s="29" t="s">
        <v>9</v>
      </c>
    </row>
    <row r="226" spans="2:42">
      <c r="B226" s="24">
        <v>212</v>
      </c>
      <c r="C226" s="24" t="str">
        <f t="shared" si="21"/>
        <v/>
      </c>
      <c r="D226" s="24" t="str">
        <f>IF(ISERROR(VLOOKUP(C226,Settings!A:B,2,FALSE)),C226,VLOOKUP(C226,Settings!A:B,2,FALSE))</f>
        <v/>
      </c>
      <c r="E226" s="30" t="str">
        <f t="shared" si="23"/>
        <v>H</v>
      </c>
      <c r="F226" s="24" t="str">
        <f t="shared" si="24"/>
        <v/>
      </c>
      <c r="G226" s="24" t="str">
        <f>IF(ISNA(VLOOKUP(F226,Settings!G:H,2,FALSE)),"",VLOOKUP(F226,Settings!G:H,2,FALSE))</f>
        <v/>
      </c>
      <c r="H226" s="25"/>
      <c r="AL226" s="29">
        <f t="shared" si="22"/>
        <v>2</v>
      </c>
      <c r="AM226" s="29"/>
      <c r="AN226" s="29" t="str">
        <f>IF(ISNA(VLOOKUP(AM226,Settings!G:H,2,FALSE)),"",VLOOKUP(AM226,Settings!G:H,2,FALSE))</f>
        <v/>
      </c>
      <c r="AO226" s="30" t="str">
        <f t="shared" si="25"/>
        <v xml:space="preserve">O                                          </v>
      </c>
      <c r="AP226" s="29" t="s">
        <v>9</v>
      </c>
    </row>
    <row r="227" spans="2:42">
      <c r="B227" s="24">
        <v>213</v>
      </c>
      <c r="C227" s="24" t="str">
        <f t="shared" si="21"/>
        <v/>
      </c>
      <c r="D227" s="24" t="str">
        <f>IF(ISERROR(VLOOKUP(C227,Settings!A:B,2,FALSE)),C227,VLOOKUP(C227,Settings!A:B,2,FALSE))</f>
        <v/>
      </c>
      <c r="E227" s="30" t="str">
        <f t="shared" si="23"/>
        <v>H</v>
      </c>
      <c r="F227" s="24" t="str">
        <f t="shared" si="24"/>
        <v/>
      </c>
      <c r="G227" s="24" t="str">
        <f>IF(ISNA(VLOOKUP(F227,Settings!G:H,2,FALSE)),"",VLOOKUP(F227,Settings!G:H,2,FALSE))</f>
        <v/>
      </c>
      <c r="H227" s="25"/>
      <c r="AL227" s="29">
        <f t="shared" si="22"/>
        <v>3</v>
      </c>
      <c r="AM227" s="29"/>
      <c r="AN227" s="29" t="str">
        <f>IF(ISNA(VLOOKUP(AM227,Settings!G:H,2,FALSE)),"",VLOOKUP(AM227,Settings!G:H,2,FALSE))</f>
        <v/>
      </c>
      <c r="AO227" s="30" t="str">
        <f t="shared" si="25"/>
        <v xml:space="preserve">O                                          </v>
      </c>
      <c r="AP227" s="29" t="s">
        <v>9</v>
      </c>
    </row>
    <row r="228" spans="2:42">
      <c r="B228" s="24">
        <v>214</v>
      </c>
      <c r="C228" s="24" t="str">
        <f t="shared" si="21"/>
        <v/>
      </c>
      <c r="D228" s="24" t="str">
        <f>IF(ISERROR(VLOOKUP(C228,Settings!A:B,2,FALSE)),C228,VLOOKUP(C228,Settings!A:B,2,FALSE))</f>
        <v/>
      </c>
      <c r="E228" s="30" t="str">
        <f t="shared" si="23"/>
        <v>H</v>
      </c>
      <c r="F228" s="24" t="str">
        <f t="shared" si="24"/>
        <v/>
      </c>
      <c r="G228" s="24" t="str">
        <f>IF(ISNA(VLOOKUP(F228,Settings!G:H,2,FALSE)),"",VLOOKUP(F228,Settings!G:H,2,FALSE))</f>
        <v/>
      </c>
      <c r="H228" s="25"/>
      <c r="AL228" s="29">
        <f t="shared" si="22"/>
        <v>4</v>
      </c>
      <c r="AM228" s="29"/>
      <c r="AN228" s="29" t="str">
        <f>IF(ISNA(VLOOKUP(AM228,Settings!G:H,2,FALSE)),"",VLOOKUP(AM228,Settings!G:H,2,FALSE))</f>
        <v/>
      </c>
      <c r="AO228" s="30" t="str">
        <f t="shared" si="25"/>
        <v xml:space="preserve">O                                          </v>
      </c>
      <c r="AP228" s="29" t="s">
        <v>9</v>
      </c>
    </row>
    <row r="229" spans="2:42">
      <c r="B229" s="24">
        <v>215</v>
      </c>
      <c r="C229" s="24" t="str">
        <f t="shared" si="21"/>
        <v/>
      </c>
      <c r="D229" s="24" t="str">
        <f>IF(ISERROR(VLOOKUP(C229,Settings!A:B,2,FALSE)),C229,VLOOKUP(C229,Settings!A:B,2,FALSE))</f>
        <v/>
      </c>
      <c r="E229" s="30" t="str">
        <f t="shared" si="23"/>
        <v>H</v>
      </c>
      <c r="F229" s="24" t="str">
        <f t="shared" si="24"/>
        <v/>
      </c>
      <c r="G229" s="24" t="str">
        <f>IF(ISNA(VLOOKUP(F229,Settings!G:H,2,FALSE)),"",VLOOKUP(F229,Settings!G:H,2,FALSE))</f>
        <v/>
      </c>
      <c r="H229" s="25"/>
      <c r="AL229" s="29">
        <f t="shared" si="22"/>
        <v>5</v>
      </c>
      <c r="AM229" s="29"/>
      <c r="AN229" s="29" t="str">
        <f>IF(ISNA(VLOOKUP(AM229,Settings!G:H,2,FALSE)),"",VLOOKUP(AM229,Settings!G:H,2,FALSE))</f>
        <v/>
      </c>
      <c r="AO229" s="30" t="str">
        <f t="shared" si="25"/>
        <v xml:space="preserve">O                                          </v>
      </c>
      <c r="AP229" s="29" t="s">
        <v>9</v>
      </c>
    </row>
    <row r="230" spans="2:42">
      <c r="B230" s="24">
        <v>216</v>
      </c>
      <c r="C230" s="24" t="str">
        <f t="shared" si="21"/>
        <v/>
      </c>
      <c r="D230" s="24" t="str">
        <f>IF(ISERROR(VLOOKUP(C230,Settings!A:B,2,FALSE)),C230,VLOOKUP(C230,Settings!A:B,2,FALSE))</f>
        <v/>
      </c>
      <c r="E230" s="30" t="str">
        <f t="shared" si="23"/>
        <v>H</v>
      </c>
      <c r="F230" s="24" t="str">
        <f t="shared" si="24"/>
        <v/>
      </c>
      <c r="G230" s="24" t="str">
        <f>IF(ISNA(VLOOKUP(F230,Settings!G:H,2,FALSE)),"",VLOOKUP(F230,Settings!G:H,2,FALSE))</f>
        <v/>
      </c>
      <c r="H230" s="25"/>
      <c r="AL230" s="29">
        <f t="shared" si="22"/>
        <v>1</v>
      </c>
      <c r="AM230" s="29"/>
      <c r="AN230" s="29" t="str">
        <f>IF(ISNA(VLOOKUP(AM230,Settings!G:H,2,FALSE)),"",VLOOKUP(AM230,Settings!G:H,2,FALSE))</f>
        <v/>
      </c>
      <c r="AO230" s="30" t="str">
        <f t="shared" si="25"/>
        <v xml:space="preserve">O                                           </v>
      </c>
      <c r="AP230" s="29" t="s">
        <v>9</v>
      </c>
    </row>
    <row r="231" spans="2:42">
      <c r="B231" s="24">
        <v>217</v>
      </c>
      <c r="C231" s="24" t="str">
        <f t="shared" si="21"/>
        <v/>
      </c>
      <c r="D231" s="24" t="str">
        <f>IF(ISERROR(VLOOKUP(C231,Settings!A:B,2,FALSE)),C231,VLOOKUP(C231,Settings!A:B,2,FALSE))</f>
        <v/>
      </c>
      <c r="E231" s="30" t="str">
        <f t="shared" si="23"/>
        <v>H</v>
      </c>
      <c r="F231" s="24" t="str">
        <f t="shared" si="24"/>
        <v/>
      </c>
      <c r="G231" s="24" t="str">
        <f>IF(ISNA(VLOOKUP(F231,Settings!G:H,2,FALSE)),"",VLOOKUP(F231,Settings!G:H,2,FALSE))</f>
        <v/>
      </c>
      <c r="H231" s="25"/>
      <c r="AL231" s="29">
        <f t="shared" si="22"/>
        <v>2</v>
      </c>
      <c r="AM231" s="29"/>
      <c r="AN231" s="29" t="str">
        <f>IF(ISNA(VLOOKUP(AM231,Settings!G:H,2,FALSE)),"",VLOOKUP(AM231,Settings!G:H,2,FALSE))</f>
        <v/>
      </c>
      <c r="AO231" s="30" t="str">
        <f t="shared" si="25"/>
        <v xml:space="preserve">O                                           </v>
      </c>
      <c r="AP231" s="29" t="s">
        <v>9</v>
      </c>
    </row>
    <row r="232" spans="2:42">
      <c r="B232" s="24">
        <v>218</v>
      </c>
      <c r="C232" s="24" t="str">
        <f t="shared" si="21"/>
        <v/>
      </c>
      <c r="D232" s="24" t="str">
        <f>IF(ISERROR(VLOOKUP(C232,Settings!A:B,2,FALSE)),C232,VLOOKUP(C232,Settings!A:B,2,FALSE))</f>
        <v/>
      </c>
      <c r="E232" s="30" t="str">
        <f t="shared" si="23"/>
        <v>H</v>
      </c>
      <c r="F232" s="24" t="str">
        <f t="shared" si="24"/>
        <v/>
      </c>
      <c r="G232" s="24" t="str">
        <f>IF(ISNA(VLOOKUP(F232,Settings!G:H,2,FALSE)),"",VLOOKUP(F232,Settings!G:H,2,FALSE))</f>
        <v/>
      </c>
      <c r="H232" s="25"/>
      <c r="AL232" s="29">
        <f t="shared" si="22"/>
        <v>3</v>
      </c>
      <c r="AM232" s="29"/>
      <c r="AN232" s="29" t="str">
        <f>IF(ISNA(VLOOKUP(AM232,Settings!G:H,2,FALSE)),"",VLOOKUP(AM232,Settings!G:H,2,FALSE))</f>
        <v/>
      </c>
      <c r="AO232" s="30" t="str">
        <f t="shared" si="25"/>
        <v xml:space="preserve">O                                           </v>
      </c>
      <c r="AP232" s="29" t="s">
        <v>9</v>
      </c>
    </row>
    <row r="233" spans="2:42">
      <c r="B233" s="24">
        <v>219</v>
      </c>
      <c r="C233" s="24" t="str">
        <f t="shared" si="21"/>
        <v/>
      </c>
      <c r="D233" s="24" t="str">
        <f>IF(ISERROR(VLOOKUP(C233,Settings!A:B,2,FALSE)),C233,VLOOKUP(C233,Settings!A:B,2,FALSE))</f>
        <v/>
      </c>
      <c r="E233" s="30" t="str">
        <f t="shared" si="23"/>
        <v>H</v>
      </c>
      <c r="F233" s="24" t="str">
        <f t="shared" si="24"/>
        <v/>
      </c>
      <c r="G233" s="24" t="str">
        <f>IF(ISNA(VLOOKUP(F233,Settings!G:H,2,FALSE)),"",VLOOKUP(F233,Settings!G:H,2,FALSE))</f>
        <v/>
      </c>
      <c r="H233" s="25"/>
      <c r="AL233" s="29">
        <f t="shared" si="22"/>
        <v>4</v>
      </c>
      <c r="AM233" s="29"/>
      <c r="AN233" s="29" t="str">
        <f>IF(ISNA(VLOOKUP(AM233,Settings!G:H,2,FALSE)),"",VLOOKUP(AM233,Settings!G:H,2,FALSE))</f>
        <v/>
      </c>
      <c r="AO233" s="30" t="str">
        <f t="shared" si="25"/>
        <v xml:space="preserve">O                                           </v>
      </c>
      <c r="AP233" s="29" t="s">
        <v>9</v>
      </c>
    </row>
    <row r="234" spans="2:42">
      <c r="B234" s="24">
        <v>220</v>
      </c>
      <c r="C234" s="24" t="str">
        <f t="shared" si="21"/>
        <v/>
      </c>
      <c r="D234" s="24" t="str">
        <f>IF(ISERROR(VLOOKUP(C234,Settings!A:B,2,FALSE)),C234,VLOOKUP(C234,Settings!A:B,2,FALSE))</f>
        <v/>
      </c>
      <c r="E234" s="30" t="str">
        <f t="shared" si="23"/>
        <v>H</v>
      </c>
      <c r="F234" s="24" t="str">
        <f t="shared" si="24"/>
        <v/>
      </c>
      <c r="G234" s="24" t="str">
        <f>IF(ISNA(VLOOKUP(F234,Settings!G:H,2,FALSE)),"",VLOOKUP(F234,Settings!G:H,2,FALSE))</f>
        <v/>
      </c>
      <c r="H234" s="25"/>
      <c r="AL234" s="29">
        <f t="shared" si="22"/>
        <v>5</v>
      </c>
      <c r="AM234" s="29"/>
      <c r="AN234" s="29" t="str">
        <f>IF(ISNA(VLOOKUP(AM234,Settings!G:H,2,FALSE)),"",VLOOKUP(AM234,Settings!G:H,2,FALSE))</f>
        <v/>
      </c>
      <c r="AO234" s="30" t="str">
        <f t="shared" si="25"/>
        <v xml:space="preserve">O                                           </v>
      </c>
      <c r="AP234" s="29" t="s">
        <v>9</v>
      </c>
    </row>
    <row r="235" spans="2:42">
      <c r="B235" s="24">
        <v>221</v>
      </c>
      <c r="C235" s="24" t="str">
        <f t="shared" si="21"/>
        <v/>
      </c>
      <c r="D235" s="24" t="str">
        <f>IF(ISERROR(VLOOKUP(C235,Settings!A:B,2,FALSE)),C235,VLOOKUP(C235,Settings!A:B,2,FALSE))</f>
        <v/>
      </c>
      <c r="E235" s="30" t="str">
        <f t="shared" si="23"/>
        <v>H</v>
      </c>
      <c r="F235" s="24" t="str">
        <f t="shared" si="24"/>
        <v/>
      </c>
      <c r="G235" s="24" t="str">
        <f>IF(ISNA(VLOOKUP(F235,Settings!G:H,2,FALSE)),"",VLOOKUP(F235,Settings!G:H,2,FALSE))</f>
        <v/>
      </c>
      <c r="H235" s="25"/>
      <c r="AL235" s="29">
        <f t="shared" si="22"/>
        <v>1</v>
      </c>
      <c r="AM235" s="29"/>
      <c r="AN235" s="29" t="str">
        <f>IF(ISNA(VLOOKUP(AM235,Settings!G:H,2,FALSE)),"",VLOOKUP(AM235,Settings!G:H,2,FALSE))</f>
        <v/>
      </c>
      <c r="AO235" s="30" t="str">
        <f t="shared" si="25"/>
        <v xml:space="preserve">O                                            </v>
      </c>
      <c r="AP235" s="29" t="s">
        <v>9</v>
      </c>
    </row>
    <row r="236" spans="2:42">
      <c r="B236" s="24">
        <v>222</v>
      </c>
      <c r="C236" s="24" t="str">
        <f t="shared" si="21"/>
        <v/>
      </c>
      <c r="D236" s="24" t="str">
        <f>IF(ISERROR(VLOOKUP(C236,Settings!A:B,2,FALSE)),C236,VLOOKUP(C236,Settings!A:B,2,FALSE))</f>
        <v/>
      </c>
      <c r="E236" s="30" t="str">
        <f t="shared" si="23"/>
        <v>H</v>
      </c>
      <c r="F236" s="24" t="str">
        <f t="shared" si="24"/>
        <v/>
      </c>
      <c r="G236" s="24" t="str">
        <f>IF(ISNA(VLOOKUP(F236,Settings!G:H,2,FALSE)),"",VLOOKUP(F236,Settings!G:H,2,FALSE))</f>
        <v/>
      </c>
      <c r="H236" s="25"/>
      <c r="AL236" s="29">
        <f t="shared" si="22"/>
        <v>2</v>
      </c>
      <c r="AM236" s="29"/>
      <c r="AN236" s="29" t="str">
        <f>IF(ISNA(VLOOKUP(AM236,Settings!G:H,2,FALSE)),"",VLOOKUP(AM236,Settings!G:H,2,FALSE))</f>
        <v/>
      </c>
      <c r="AO236" s="30" t="str">
        <f t="shared" si="25"/>
        <v xml:space="preserve">O                                            </v>
      </c>
      <c r="AP236" s="29" t="s">
        <v>9</v>
      </c>
    </row>
    <row r="237" spans="2:42">
      <c r="B237" s="24">
        <v>223</v>
      </c>
      <c r="C237" s="24" t="str">
        <f t="shared" si="21"/>
        <v/>
      </c>
      <c r="D237" s="24" t="str">
        <f>IF(ISERROR(VLOOKUP(C237,Settings!A:B,2,FALSE)),C237,VLOOKUP(C237,Settings!A:B,2,FALSE))</f>
        <v/>
      </c>
      <c r="E237" s="30" t="str">
        <f t="shared" si="23"/>
        <v>H</v>
      </c>
      <c r="F237" s="24" t="str">
        <f t="shared" si="24"/>
        <v/>
      </c>
      <c r="G237" s="24" t="str">
        <f>IF(ISNA(VLOOKUP(F237,Settings!G:H,2,FALSE)),"",VLOOKUP(F237,Settings!G:H,2,FALSE))</f>
        <v/>
      </c>
      <c r="H237" s="25"/>
      <c r="AL237" s="29">
        <f t="shared" si="22"/>
        <v>3</v>
      </c>
      <c r="AM237" s="29"/>
      <c r="AN237" s="29" t="str">
        <f>IF(ISNA(VLOOKUP(AM237,Settings!G:H,2,FALSE)),"",VLOOKUP(AM237,Settings!G:H,2,FALSE))</f>
        <v/>
      </c>
      <c r="AO237" s="30" t="str">
        <f t="shared" si="25"/>
        <v xml:space="preserve">O                                            </v>
      </c>
      <c r="AP237" s="29" t="s">
        <v>9</v>
      </c>
    </row>
    <row r="238" spans="2:42">
      <c r="B238" s="24">
        <v>224</v>
      </c>
      <c r="C238" s="24" t="str">
        <f t="shared" si="21"/>
        <v/>
      </c>
      <c r="D238" s="24" t="str">
        <f>IF(ISERROR(VLOOKUP(C238,Settings!A:B,2,FALSE)),C238,VLOOKUP(C238,Settings!A:B,2,FALSE))</f>
        <v/>
      </c>
      <c r="E238" s="30" t="str">
        <f t="shared" si="23"/>
        <v>H</v>
      </c>
      <c r="F238" s="24" t="str">
        <f t="shared" si="24"/>
        <v/>
      </c>
      <c r="G238" s="24" t="str">
        <f>IF(ISNA(VLOOKUP(F238,Settings!G:H,2,FALSE)),"",VLOOKUP(F238,Settings!G:H,2,FALSE))</f>
        <v/>
      </c>
      <c r="H238" s="25"/>
      <c r="AL238" s="29">
        <f t="shared" si="22"/>
        <v>4</v>
      </c>
      <c r="AM238" s="29"/>
      <c r="AN238" s="29" t="str">
        <f>IF(ISNA(VLOOKUP(AM238,Settings!G:H,2,FALSE)),"",VLOOKUP(AM238,Settings!G:H,2,FALSE))</f>
        <v/>
      </c>
      <c r="AO238" s="30" t="str">
        <f t="shared" si="25"/>
        <v xml:space="preserve">O                                            </v>
      </c>
      <c r="AP238" s="29" t="s">
        <v>9</v>
      </c>
    </row>
    <row r="239" spans="2:42">
      <c r="B239" s="24">
        <v>225</v>
      </c>
      <c r="C239" s="24" t="str">
        <f t="shared" si="21"/>
        <v/>
      </c>
      <c r="D239" s="24" t="str">
        <f>IF(ISERROR(VLOOKUP(C239,Settings!A:B,2,FALSE)),C239,VLOOKUP(C239,Settings!A:B,2,FALSE))</f>
        <v/>
      </c>
      <c r="E239" s="30" t="str">
        <f t="shared" si="23"/>
        <v>H</v>
      </c>
      <c r="F239" s="24" t="str">
        <f t="shared" si="24"/>
        <v/>
      </c>
      <c r="G239" s="24" t="str">
        <f>IF(ISNA(VLOOKUP(F239,Settings!G:H,2,FALSE)),"",VLOOKUP(F239,Settings!G:H,2,FALSE))</f>
        <v/>
      </c>
      <c r="H239" s="25"/>
      <c r="AL239" s="29">
        <f t="shared" si="22"/>
        <v>5</v>
      </c>
      <c r="AM239" s="29"/>
      <c r="AN239" s="29" t="str">
        <f>IF(ISNA(VLOOKUP(AM239,Settings!G:H,2,FALSE)),"",VLOOKUP(AM239,Settings!G:H,2,FALSE))</f>
        <v/>
      </c>
      <c r="AO239" s="30" t="str">
        <f t="shared" si="25"/>
        <v xml:space="preserve">O                                            </v>
      </c>
      <c r="AP239" s="29" t="s">
        <v>9</v>
      </c>
    </row>
    <row r="240" spans="2:42">
      <c r="B240" s="24">
        <v>226</v>
      </c>
      <c r="C240" s="24" t="str">
        <f t="shared" si="21"/>
        <v/>
      </c>
      <c r="D240" s="24" t="str">
        <f>IF(ISERROR(VLOOKUP(C240,Settings!A:B,2,FALSE)),C240,VLOOKUP(C240,Settings!A:B,2,FALSE))</f>
        <v/>
      </c>
      <c r="E240" s="30" t="str">
        <f t="shared" si="23"/>
        <v>H</v>
      </c>
      <c r="F240" s="24" t="str">
        <f t="shared" si="24"/>
        <v/>
      </c>
      <c r="G240" s="24" t="str">
        <f>IF(ISNA(VLOOKUP(F240,Settings!G:H,2,FALSE)),"",VLOOKUP(F240,Settings!G:H,2,FALSE))</f>
        <v/>
      </c>
      <c r="H240" s="25"/>
      <c r="AL240" s="29">
        <f t="shared" si="22"/>
        <v>1</v>
      </c>
      <c r="AM240" s="29"/>
      <c r="AN240" s="29" t="str">
        <f>IF(ISNA(VLOOKUP(AM240,Settings!G:H,2,FALSE)),"",VLOOKUP(AM240,Settings!G:H,2,FALSE))</f>
        <v/>
      </c>
      <c r="AO240" s="30" t="str">
        <f t="shared" si="25"/>
        <v xml:space="preserve">O                                             </v>
      </c>
      <c r="AP240" s="29" t="s">
        <v>9</v>
      </c>
    </row>
    <row r="241" spans="2:42">
      <c r="B241" s="24">
        <v>227</v>
      </c>
      <c r="C241" s="24" t="str">
        <f t="shared" si="21"/>
        <v/>
      </c>
      <c r="D241" s="24" t="str">
        <f>IF(ISERROR(VLOOKUP(C241,Settings!A:B,2,FALSE)),C241,VLOOKUP(C241,Settings!A:B,2,FALSE))</f>
        <v/>
      </c>
      <c r="E241" s="30" t="str">
        <f t="shared" si="23"/>
        <v>H</v>
      </c>
      <c r="F241" s="24" t="str">
        <f t="shared" si="24"/>
        <v/>
      </c>
      <c r="G241" s="24" t="str">
        <f>IF(ISNA(VLOOKUP(F241,Settings!G:H,2,FALSE)),"",VLOOKUP(F241,Settings!G:H,2,FALSE))</f>
        <v/>
      </c>
      <c r="H241" s="25"/>
      <c r="AL241" s="29">
        <f t="shared" si="22"/>
        <v>2</v>
      </c>
      <c r="AM241" s="29"/>
      <c r="AN241" s="29" t="str">
        <f>IF(ISNA(VLOOKUP(AM241,Settings!G:H,2,FALSE)),"",VLOOKUP(AM241,Settings!G:H,2,FALSE))</f>
        <v/>
      </c>
      <c r="AO241" s="30" t="str">
        <f t="shared" si="25"/>
        <v xml:space="preserve">O                                             </v>
      </c>
      <c r="AP241" s="29" t="s">
        <v>9</v>
      </c>
    </row>
    <row r="242" spans="2:42">
      <c r="B242" s="24">
        <v>228</v>
      </c>
      <c r="C242" s="24" t="str">
        <f t="shared" si="21"/>
        <v/>
      </c>
      <c r="D242" s="24" t="str">
        <f>IF(ISERROR(VLOOKUP(C242,Settings!A:B,2,FALSE)),C242,VLOOKUP(C242,Settings!A:B,2,FALSE))</f>
        <v/>
      </c>
      <c r="E242" s="30" t="str">
        <f t="shared" si="23"/>
        <v>H</v>
      </c>
      <c r="F242" s="24" t="str">
        <f t="shared" si="24"/>
        <v/>
      </c>
      <c r="G242" s="24" t="str">
        <f>IF(ISNA(VLOOKUP(F242,Settings!G:H,2,FALSE)),"",VLOOKUP(F242,Settings!G:H,2,FALSE))</f>
        <v/>
      </c>
      <c r="H242" s="25"/>
      <c r="AL242" s="29">
        <f t="shared" si="22"/>
        <v>3</v>
      </c>
      <c r="AM242" s="29"/>
      <c r="AN242" s="29" t="str">
        <f>IF(ISNA(VLOOKUP(AM242,Settings!G:H,2,FALSE)),"",VLOOKUP(AM242,Settings!G:H,2,FALSE))</f>
        <v/>
      </c>
      <c r="AO242" s="30" t="str">
        <f t="shared" si="25"/>
        <v xml:space="preserve">O                                             </v>
      </c>
      <c r="AP242" s="29" t="s">
        <v>9</v>
      </c>
    </row>
    <row r="243" spans="2:42">
      <c r="B243" s="24">
        <v>229</v>
      </c>
      <c r="C243" s="24" t="str">
        <f t="shared" si="21"/>
        <v/>
      </c>
      <c r="D243" s="24" t="str">
        <f>IF(ISERROR(VLOOKUP(C243,Settings!A:B,2,FALSE)),C243,VLOOKUP(C243,Settings!A:B,2,FALSE))</f>
        <v/>
      </c>
      <c r="E243" s="30" t="str">
        <f t="shared" si="23"/>
        <v>H</v>
      </c>
      <c r="F243" s="24" t="str">
        <f t="shared" si="24"/>
        <v/>
      </c>
      <c r="G243" s="24" t="str">
        <f>IF(ISNA(VLOOKUP(F243,Settings!G:H,2,FALSE)),"",VLOOKUP(F243,Settings!G:H,2,FALSE))</f>
        <v/>
      </c>
      <c r="H243" s="25"/>
      <c r="AL243" s="29">
        <f t="shared" si="22"/>
        <v>4</v>
      </c>
      <c r="AM243" s="29"/>
      <c r="AN243" s="29" t="str">
        <f>IF(ISNA(VLOOKUP(AM243,Settings!G:H,2,FALSE)),"",VLOOKUP(AM243,Settings!G:H,2,FALSE))</f>
        <v/>
      </c>
      <c r="AO243" s="30" t="str">
        <f t="shared" si="25"/>
        <v xml:space="preserve">O                                             </v>
      </c>
      <c r="AP243" s="29" t="s">
        <v>9</v>
      </c>
    </row>
    <row r="244" spans="2:42">
      <c r="B244" s="24">
        <v>230</v>
      </c>
      <c r="C244" s="24" t="str">
        <f t="shared" si="21"/>
        <v/>
      </c>
      <c r="D244" s="24" t="str">
        <f>IF(ISERROR(VLOOKUP(C244,Settings!A:B,2,FALSE)),C244,VLOOKUP(C244,Settings!A:B,2,FALSE))</f>
        <v/>
      </c>
      <c r="E244" s="30" t="str">
        <f t="shared" si="23"/>
        <v>H</v>
      </c>
      <c r="F244" s="24" t="str">
        <f t="shared" si="24"/>
        <v/>
      </c>
      <c r="G244" s="24" t="str">
        <f>IF(ISNA(VLOOKUP(F244,Settings!G:H,2,FALSE)),"",VLOOKUP(F244,Settings!G:H,2,FALSE))</f>
        <v/>
      </c>
      <c r="H244" s="25"/>
      <c r="AL244" s="29">
        <f t="shared" si="22"/>
        <v>5</v>
      </c>
      <c r="AM244" s="29"/>
      <c r="AN244" s="29" t="str">
        <f>IF(ISNA(VLOOKUP(AM244,Settings!G:H,2,FALSE)),"",VLOOKUP(AM244,Settings!G:H,2,FALSE))</f>
        <v/>
      </c>
      <c r="AO244" s="30" t="str">
        <f t="shared" si="25"/>
        <v xml:space="preserve">O                                             </v>
      </c>
      <c r="AP244" s="29" t="s">
        <v>9</v>
      </c>
    </row>
    <row r="245" spans="2:42">
      <c r="B245" s="24">
        <v>231</v>
      </c>
      <c r="C245" s="24" t="str">
        <f t="shared" si="21"/>
        <v/>
      </c>
      <c r="D245" s="24" t="str">
        <f>IF(ISERROR(VLOOKUP(C245,Settings!A:B,2,FALSE)),C245,VLOOKUP(C245,Settings!A:B,2,FALSE))</f>
        <v/>
      </c>
      <c r="E245" s="30" t="str">
        <f t="shared" si="23"/>
        <v>H</v>
      </c>
      <c r="F245" s="24" t="str">
        <f t="shared" si="24"/>
        <v/>
      </c>
      <c r="G245" s="24" t="str">
        <f>IF(ISNA(VLOOKUP(F245,Settings!G:H,2,FALSE)),"",VLOOKUP(F245,Settings!G:H,2,FALSE))</f>
        <v/>
      </c>
      <c r="H245" s="25"/>
      <c r="AL245" s="29">
        <f t="shared" si="22"/>
        <v>1</v>
      </c>
      <c r="AM245" s="29"/>
      <c r="AN245" s="29" t="str">
        <f>IF(ISNA(VLOOKUP(AM245,Settings!G:H,2,FALSE)),"",VLOOKUP(AM245,Settings!G:H,2,FALSE))</f>
        <v/>
      </c>
      <c r="AO245" s="30" t="str">
        <f t="shared" si="25"/>
        <v xml:space="preserve">O                                              </v>
      </c>
      <c r="AP245" s="29" t="s">
        <v>9</v>
      </c>
    </row>
    <row r="246" spans="2:42">
      <c r="B246" s="24">
        <v>232</v>
      </c>
      <c r="C246" s="24" t="str">
        <f t="shared" si="21"/>
        <v/>
      </c>
      <c r="D246" s="24" t="str">
        <f>IF(ISERROR(VLOOKUP(C246,Settings!A:B,2,FALSE)),C246,VLOOKUP(C246,Settings!A:B,2,FALSE))</f>
        <v/>
      </c>
      <c r="E246" s="30" t="str">
        <f t="shared" si="23"/>
        <v>H</v>
      </c>
      <c r="F246" s="24" t="str">
        <f t="shared" si="24"/>
        <v/>
      </c>
      <c r="G246" s="24" t="str">
        <f>IF(ISNA(VLOOKUP(F246,Settings!G:H,2,FALSE)),"",VLOOKUP(F246,Settings!G:H,2,FALSE))</f>
        <v/>
      </c>
      <c r="H246" s="25"/>
      <c r="AL246" s="29">
        <f t="shared" si="22"/>
        <v>2</v>
      </c>
      <c r="AM246" s="29"/>
      <c r="AN246" s="29" t="str">
        <f>IF(ISNA(VLOOKUP(AM246,Settings!G:H,2,FALSE)),"",VLOOKUP(AM246,Settings!G:H,2,FALSE))</f>
        <v/>
      </c>
      <c r="AO246" s="30" t="str">
        <f t="shared" si="25"/>
        <v xml:space="preserve">O                                              </v>
      </c>
      <c r="AP246" s="29" t="s">
        <v>9</v>
      </c>
    </row>
    <row r="247" spans="2:42">
      <c r="B247" s="24">
        <v>233</v>
      </c>
      <c r="C247" s="24" t="str">
        <f t="shared" si="21"/>
        <v/>
      </c>
      <c r="D247" s="24" t="str">
        <f>IF(ISERROR(VLOOKUP(C247,Settings!A:B,2,FALSE)),C247,VLOOKUP(C247,Settings!A:B,2,FALSE))</f>
        <v/>
      </c>
      <c r="E247" s="30" t="str">
        <f t="shared" si="23"/>
        <v>H</v>
      </c>
      <c r="F247" s="24" t="str">
        <f t="shared" si="24"/>
        <v/>
      </c>
      <c r="G247" s="24" t="str">
        <f>IF(ISNA(VLOOKUP(F247,Settings!G:H,2,FALSE)),"",VLOOKUP(F247,Settings!G:H,2,FALSE))</f>
        <v/>
      </c>
      <c r="H247" s="25"/>
      <c r="AL247" s="29">
        <f t="shared" si="22"/>
        <v>3</v>
      </c>
      <c r="AM247" s="29"/>
      <c r="AN247" s="29" t="str">
        <f>IF(ISNA(VLOOKUP(AM247,Settings!G:H,2,FALSE)),"",VLOOKUP(AM247,Settings!G:H,2,FALSE))</f>
        <v/>
      </c>
      <c r="AO247" s="30" t="str">
        <f t="shared" si="25"/>
        <v xml:space="preserve">O                                              </v>
      </c>
      <c r="AP247" s="29" t="s">
        <v>9</v>
      </c>
    </row>
    <row r="248" spans="2:42">
      <c r="B248" s="24">
        <v>234</v>
      </c>
      <c r="C248" s="24" t="str">
        <f t="shared" si="21"/>
        <v/>
      </c>
      <c r="D248" s="24" t="str">
        <f>IF(ISERROR(VLOOKUP(C248,Settings!A:B,2,FALSE)),C248,VLOOKUP(C248,Settings!A:B,2,FALSE))</f>
        <v/>
      </c>
      <c r="E248" s="30" t="str">
        <f t="shared" si="23"/>
        <v>H</v>
      </c>
      <c r="F248" s="24" t="str">
        <f t="shared" si="24"/>
        <v/>
      </c>
      <c r="G248" s="24" t="str">
        <f>IF(ISNA(VLOOKUP(F248,Settings!G:H,2,FALSE)),"",VLOOKUP(F248,Settings!G:H,2,FALSE))</f>
        <v/>
      </c>
      <c r="H248" s="25"/>
      <c r="AL248" s="29">
        <f t="shared" si="22"/>
        <v>4</v>
      </c>
      <c r="AM248" s="29"/>
      <c r="AN248" s="29" t="str">
        <f>IF(ISNA(VLOOKUP(AM248,Settings!G:H,2,FALSE)),"",VLOOKUP(AM248,Settings!G:H,2,FALSE))</f>
        <v/>
      </c>
      <c r="AO248" s="30" t="str">
        <f t="shared" si="25"/>
        <v xml:space="preserve">O                                              </v>
      </c>
      <c r="AP248" s="29" t="s">
        <v>9</v>
      </c>
    </row>
    <row r="249" spans="2:42">
      <c r="B249" s="24">
        <v>235</v>
      </c>
      <c r="C249" s="24" t="str">
        <f t="shared" si="21"/>
        <v/>
      </c>
      <c r="D249" s="24" t="str">
        <f>IF(ISERROR(VLOOKUP(C249,Settings!A:B,2,FALSE)),C249,VLOOKUP(C249,Settings!A:B,2,FALSE))</f>
        <v/>
      </c>
      <c r="E249" s="30" t="str">
        <f t="shared" si="23"/>
        <v>H</v>
      </c>
      <c r="F249" s="24" t="str">
        <f t="shared" si="24"/>
        <v/>
      </c>
      <c r="G249" s="24" t="str">
        <f>IF(ISNA(VLOOKUP(F249,Settings!G:H,2,FALSE)),"",VLOOKUP(F249,Settings!G:H,2,FALSE))</f>
        <v/>
      </c>
      <c r="H249" s="25"/>
      <c r="AL249" s="29">
        <f t="shared" si="22"/>
        <v>5</v>
      </c>
      <c r="AM249" s="29"/>
      <c r="AN249" s="29" t="str">
        <f>IF(ISNA(VLOOKUP(AM249,Settings!G:H,2,FALSE)),"",VLOOKUP(AM249,Settings!G:H,2,FALSE))</f>
        <v/>
      </c>
      <c r="AO249" s="30" t="str">
        <f t="shared" si="25"/>
        <v xml:space="preserve">O                                              </v>
      </c>
      <c r="AP249" s="29" t="s">
        <v>9</v>
      </c>
    </row>
    <row r="250" spans="2:42">
      <c r="B250" s="24">
        <v>236</v>
      </c>
      <c r="C250" s="24" t="str">
        <f t="shared" si="21"/>
        <v/>
      </c>
      <c r="D250" s="24" t="str">
        <f>IF(ISERROR(VLOOKUP(C250,Settings!A:B,2,FALSE)),C250,VLOOKUP(C250,Settings!A:B,2,FALSE))</f>
        <v/>
      </c>
      <c r="E250" s="30" t="str">
        <f t="shared" si="23"/>
        <v>H</v>
      </c>
      <c r="F250" s="24" t="str">
        <f t="shared" si="24"/>
        <v/>
      </c>
      <c r="G250" s="24" t="str">
        <f>IF(ISNA(VLOOKUP(F250,Settings!G:H,2,FALSE)),"",VLOOKUP(F250,Settings!G:H,2,FALSE))</f>
        <v/>
      </c>
      <c r="H250" s="25"/>
      <c r="AL250" s="29">
        <f t="shared" si="22"/>
        <v>1</v>
      </c>
      <c r="AM250" s="29"/>
      <c r="AN250" s="29" t="str">
        <f>IF(ISNA(VLOOKUP(AM250,Settings!G:H,2,FALSE)),"",VLOOKUP(AM250,Settings!G:H,2,FALSE))</f>
        <v/>
      </c>
      <c r="AO250" s="30" t="str">
        <f t="shared" si="25"/>
        <v xml:space="preserve">O                                               </v>
      </c>
      <c r="AP250" s="29" t="s">
        <v>9</v>
      </c>
    </row>
    <row r="251" spans="2:42">
      <c r="B251" s="24">
        <v>237</v>
      </c>
      <c r="C251" s="24" t="str">
        <f t="shared" si="21"/>
        <v/>
      </c>
      <c r="D251" s="24" t="str">
        <f>IF(ISERROR(VLOOKUP(C251,Settings!A:B,2,FALSE)),C251,VLOOKUP(C251,Settings!A:B,2,FALSE))</f>
        <v/>
      </c>
      <c r="E251" s="30" t="str">
        <f t="shared" si="23"/>
        <v>H</v>
      </c>
      <c r="F251" s="24" t="str">
        <f t="shared" si="24"/>
        <v/>
      </c>
      <c r="G251" s="24" t="str">
        <f>IF(ISNA(VLOOKUP(F251,Settings!G:H,2,FALSE)),"",VLOOKUP(F251,Settings!G:H,2,FALSE))</f>
        <v/>
      </c>
      <c r="H251" s="25"/>
      <c r="AL251" s="29">
        <f t="shared" si="22"/>
        <v>2</v>
      </c>
      <c r="AM251" s="29"/>
      <c r="AN251" s="29" t="str">
        <f>IF(ISNA(VLOOKUP(AM251,Settings!G:H,2,FALSE)),"",VLOOKUP(AM251,Settings!G:H,2,FALSE))</f>
        <v/>
      </c>
      <c r="AO251" s="30" t="str">
        <f t="shared" si="25"/>
        <v xml:space="preserve">O                                               </v>
      </c>
      <c r="AP251" s="29" t="s">
        <v>9</v>
      </c>
    </row>
    <row r="252" spans="2:42">
      <c r="B252" s="24">
        <v>238</v>
      </c>
      <c r="C252" s="24" t="str">
        <f t="shared" si="21"/>
        <v/>
      </c>
      <c r="D252" s="24" t="str">
        <f>IF(ISERROR(VLOOKUP(C252,Settings!A:B,2,FALSE)),C252,VLOOKUP(C252,Settings!A:B,2,FALSE))</f>
        <v/>
      </c>
      <c r="E252" s="30" t="str">
        <f t="shared" si="23"/>
        <v>H</v>
      </c>
      <c r="F252" s="24" t="str">
        <f t="shared" si="24"/>
        <v/>
      </c>
      <c r="G252" s="24" t="str">
        <f>IF(ISNA(VLOOKUP(F252,Settings!G:H,2,FALSE)),"",VLOOKUP(F252,Settings!G:H,2,FALSE))</f>
        <v/>
      </c>
      <c r="H252" s="25"/>
      <c r="AL252" s="29">
        <f t="shared" si="22"/>
        <v>3</v>
      </c>
      <c r="AM252" s="29"/>
      <c r="AN252" s="29" t="str">
        <f>IF(ISNA(VLOOKUP(AM252,Settings!G:H,2,FALSE)),"",VLOOKUP(AM252,Settings!G:H,2,FALSE))</f>
        <v/>
      </c>
      <c r="AO252" s="30" t="str">
        <f t="shared" si="25"/>
        <v xml:space="preserve">O                                               </v>
      </c>
      <c r="AP252" s="29" t="s">
        <v>9</v>
      </c>
    </row>
    <row r="253" spans="2:42">
      <c r="B253" s="24">
        <v>239</v>
      </c>
      <c r="C253" s="24" t="str">
        <f t="shared" si="21"/>
        <v/>
      </c>
      <c r="D253" s="24" t="str">
        <f>IF(ISERROR(VLOOKUP(C253,Settings!A:B,2,FALSE)),C253,VLOOKUP(C253,Settings!A:B,2,FALSE))</f>
        <v/>
      </c>
      <c r="E253" s="30" t="str">
        <f t="shared" si="23"/>
        <v>H</v>
      </c>
      <c r="F253" s="24" t="str">
        <f t="shared" si="24"/>
        <v/>
      </c>
      <c r="G253" s="24" t="str">
        <f>IF(ISNA(VLOOKUP(F253,Settings!G:H,2,FALSE)),"",VLOOKUP(F253,Settings!G:H,2,FALSE))</f>
        <v/>
      </c>
      <c r="H253" s="25"/>
      <c r="AL253" s="29">
        <f t="shared" si="22"/>
        <v>4</v>
      </c>
      <c r="AM253" s="29"/>
      <c r="AN253" s="29" t="str">
        <f>IF(ISNA(VLOOKUP(AM253,Settings!G:H,2,FALSE)),"",VLOOKUP(AM253,Settings!G:H,2,FALSE))</f>
        <v/>
      </c>
      <c r="AO253" s="30" t="str">
        <f t="shared" si="25"/>
        <v xml:space="preserve">O                                               </v>
      </c>
      <c r="AP253" s="29" t="s">
        <v>9</v>
      </c>
    </row>
    <row r="254" spans="2:42">
      <c r="B254" s="24">
        <v>240</v>
      </c>
      <c r="C254" s="24" t="str">
        <f t="shared" si="21"/>
        <v/>
      </c>
      <c r="D254" s="24" t="str">
        <f>IF(ISERROR(VLOOKUP(C254,Settings!A:B,2,FALSE)),C254,VLOOKUP(C254,Settings!A:B,2,FALSE))</f>
        <v/>
      </c>
      <c r="E254" s="30" t="str">
        <f t="shared" si="23"/>
        <v>H</v>
      </c>
      <c r="F254" s="24" t="str">
        <f t="shared" si="24"/>
        <v/>
      </c>
      <c r="G254" s="24" t="str">
        <f>IF(ISNA(VLOOKUP(F254,Settings!G:H,2,FALSE)),"",VLOOKUP(F254,Settings!G:H,2,FALSE))</f>
        <v/>
      </c>
      <c r="H254" s="25"/>
      <c r="AL254" s="29">
        <f t="shared" si="22"/>
        <v>5</v>
      </c>
      <c r="AM254" s="29"/>
      <c r="AN254" s="29" t="str">
        <f>IF(ISNA(VLOOKUP(AM254,Settings!G:H,2,FALSE)),"",VLOOKUP(AM254,Settings!G:H,2,FALSE))</f>
        <v/>
      </c>
      <c r="AO254" s="30" t="str">
        <f t="shared" si="25"/>
        <v xml:space="preserve">O                                               </v>
      </c>
      <c r="AP254" s="29" t="s">
        <v>9</v>
      </c>
    </row>
    <row r="255" spans="2:42">
      <c r="B255" s="24">
        <v>241</v>
      </c>
      <c r="C255" s="24" t="str">
        <f t="shared" si="21"/>
        <v/>
      </c>
      <c r="D255" s="24" t="str">
        <f>IF(ISERROR(VLOOKUP(C255,Settings!A:B,2,FALSE)),C255,VLOOKUP(C255,Settings!A:B,2,FALSE))</f>
        <v/>
      </c>
      <c r="E255" s="30" t="str">
        <f t="shared" si="23"/>
        <v>H</v>
      </c>
      <c r="F255" s="24" t="str">
        <f t="shared" si="24"/>
        <v/>
      </c>
      <c r="G255" s="24" t="str">
        <f>IF(ISNA(VLOOKUP(F255,Settings!G:H,2,FALSE)),"",VLOOKUP(F255,Settings!G:H,2,FALSE))</f>
        <v/>
      </c>
      <c r="H255" s="25"/>
      <c r="AL255" s="29">
        <f t="shared" si="22"/>
        <v>1</v>
      </c>
      <c r="AM255" s="29"/>
      <c r="AN255" s="29" t="str">
        <f>IF(ISNA(VLOOKUP(AM255,Settings!G:H,2,FALSE)),"",VLOOKUP(AM255,Settings!G:H,2,FALSE))</f>
        <v/>
      </c>
      <c r="AO255" s="30" t="str">
        <f t="shared" si="25"/>
        <v xml:space="preserve">O                                                </v>
      </c>
      <c r="AP255" s="29" t="s">
        <v>9</v>
      </c>
    </row>
    <row r="256" spans="2:42">
      <c r="B256" s="24">
        <v>242</v>
      </c>
      <c r="C256" s="24" t="str">
        <f t="shared" si="21"/>
        <v/>
      </c>
      <c r="D256" s="24" t="str">
        <f>IF(ISERROR(VLOOKUP(C256,Settings!A:B,2,FALSE)),C256,VLOOKUP(C256,Settings!A:B,2,FALSE))</f>
        <v/>
      </c>
      <c r="E256" s="30" t="str">
        <f t="shared" si="23"/>
        <v>H</v>
      </c>
      <c r="F256" s="24" t="str">
        <f t="shared" si="24"/>
        <v/>
      </c>
      <c r="G256" s="24" t="str">
        <f>IF(ISNA(VLOOKUP(F256,Settings!G:H,2,FALSE)),"",VLOOKUP(F256,Settings!G:H,2,FALSE))</f>
        <v/>
      </c>
      <c r="H256" s="25"/>
      <c r="AL256" s="29">
        <f t="shared" si="22"/>
        <v>2</v>
      </c>
      <c r="AM256" s="29"/>
      <c r="AN256" s="29" t="str">
        <f>IF(ISNA(VLOOKUP(AM256,Settings!G:H,2,FALSE)),"",VLOOKUP(AM256,Settings!G:H,2,FALSE))</f>
        <v/>
      </c>
      <c r="AO256" s="30" t="str">
        <f t="shared" si="25"/>
        <v xml:space="preserve">O                                                </v>
      </c>
      <c r="AP256" s="29" t="s">
        <v>9</v>
      </c>
    </row>
    <row r="257" spans="2:42">
      <c r="B257" s="24">
        <v>243</v>
      </c>
      <c r="C257" s="24" t="str">
        <f t="shared" si="21"/>
        <v/>
      </c>
      <c r="D257" s="24" t="str">
        <f>IF(ISERROR(VLOOKUP(C257,Settings!A:B,2,FALSE)),C257,VLOOKUP(C257,Settings!A:B,2,FALSE))</f>
        <v/>
      </c>
      <c r="E257" s="30" t="str">
        <f t="shared" si="23"/>
        <v>H</v>
      </c>
      <c r="F257" s="24" t="str">
        <f t="shared" si="24"/>
        <v/>
      </c>
      <c r="G257" s="24" t="str">
        <f>IF(ISNA(VLOOKUP(F257,Settings!G:H,2,FALSE)),"",VLOOKUP(F257,Settings!G:H,2,FALSE))</f>
        <v/>
      </c>
      <c r="H257" s="25"/>
      <c r="AL257" s="29">
        <f t="shared" si="22"/>
        <v>3</v>
      </c>
      <c r="AM257" s="29"/>
      <c r="AN257" s="29" t="str">
        <f>IF(ISNA(VLOOKUP(AM257,Settings!G:H,2,FALSE)),"",VLOOKUP(AM257,Settings!G:H,2,FALSE))</f>
        <v/>
      </c>
      <c r="AO257" s="30" t="str">
        <f t="shared" si="25"/>
        <v xml:space="preserve">O                                                </v>
      </c>
      <c r="AP257" s="29" t="s">
        <v>9</v>
      </c>
    </row>
    <row r="258" spans="2:42">
      <c r="B258" s="24">
        <v>244</v>
      </c>
      <c r="C258" s="24" t="str">
        <f t="shared" si="21"/>
        <v/>
      </c>
      <c r="D258" s="24" t="str">
        <f>IF(ISERROR(VLOOKUP(C258,Settings!A:B,2,FALSE)),C258,VLOOKUP(C258,Settings!A:B,2,FALSE))</f>
        <v/>
      </c>
      <c r="E258" s="30" t="str">
        <f t="shared" si="23"/>
        <v>H</v>
      </c>
      <c r="F258" s="24" t="str">
        <f t="shared" si="24"/>
        <v/>
      </c>
      <c r="G258" s="24" t="str">
        <f>IF(ISNA(VLOOKUP(F258,Settings!G:H,2,FALSE)),"",VLOOKUP(F258,Settings!G:H,2,FALSE))</f>
        <v/>
      </c>
      <c r="H258" s="25"/>
      <c r="AL258" s="29">
        <f t="shared" si="22"/>
        <v>4</v>
      </c>
      <c r="AM258" s="29"/>
      <c r="AN258" s="29" t="str">
        <f>IF(ISNA(VLOOKUP(AM258,Settings!G:H,2,FALSE)),"",VLOOKUP(AM258,Settings!G:H,2,FALSE))</f>
        <v/>
      </c>
      <c r="AO258" s="30" t="str">
        <f t="shared" si="25"/>
        <v xml:space="preserve">O                                                </v>
      </c>
      <c r="AP258" s="29" t="s">
        <v>9</v>
      </c>
    </row>
    <row r="259" spans="2:42">
      <c r="B259" s="24">
        <v>245</v>
      </c>
      <c r="C259" s="24" t="str">
        <f t="shared" si="21"/>
        <v/>
      </c>
      <c r="D259" s="24" t="str">
        <f>IF(ISERROR(VLOOKUP(C259,Settings!A:B,2,FALSE)),C259,VLOOKUP(C259,Settings!A:B,2,FALSE))</f>
        <v/>
      </c>
      <c r="E259" s="30" t="str">
        <f t="shared" si="23"/>
        <v>H</v>
      </c>
      <c r="F259" s="24" t="str">
        <f t="shared" si="24"/>
        <v/>
      </c>
      <c r="G259" s="24" t="str">
        <f>IF(ISNA(VLOOKUP(F259,Settings!G:H,2,FALSE)),"",VLOOKUP(F259,Settings!G:H,2,FALSE))</f>
        <v/>
      </c>
      <c r="H259" s="25"/>
      <c r="AL259" s="29">
        <f t="shared" si="22"/>
        <v>5</v>
      </c>
      <c r="AM259" s="29"/>
      <c r="AN259" s="29" t="str">
        <f>IF(ISNA(VLOOKUP(AM259,Settings!G:H,2,FALSE)),"",VLOOKUP(AM259,Settings!G:H,2,FALSE))</f>
        <v/>
      </c>
      <c r="AO259" s="30" t="str">
        <f t="shared" si="25"/>
        <v xml:space="preserve">O                                                </v>
      </c>
      <c r="AP259" s="29" t="s">
        <v>9</v>
      </c>
    </row>
    <row r="260" spans="2:42">
      <c r="B260" s="24">
        <v>246</v>
      </c>
      <c r="C260" s="24" t="str">
        <f t="shared" si="21"/>
        <v/>
      </c>
      <c r="D260" s="24" t="str">
        <f>IF(ISERROR(VLOOKUP(C260,Settings!A:B,2,FALSE)),C260,VLOOKUP(C260,Settings!A:B,2,FALSE))</f>
        <v/>
      </c>
      <c r="E260" s="30" t="str">
        <f t="shared" si="23"/>
        <v>H</v>
      </c>
      <c r="F260" s="24" t="str">
        <f t="shared" si="24"/>
        <v/>
      </c>
      <c r="G260" s="24" t="str">
        <f>IF(ISNA(VLOOKUP(F260,Settings!G:H,2,FALSE)),"",VLOOKUP(F260,Settings!G:H,2,FALSE))</f>
        <v/>
      </c>
      <c r="H260" s="25"/>
      <c r="AL260" s="29">
        <f t="shared" si="22"/>
        <v>1</v>
      </c>
      <c r="AM260" s="29"/>
      <c r="AN260" s="29" t="str">
        <f>IF(ISNA(VLOOKUP(AM260,Settings!G:H,2,FALSE)),"",VLOOKUP(AM260,Settings!G:H,2,FALSE))</f>
        <v/>
      </c>
      <c r="AO260" s="30" t="str">
        <f t="shared" si="25"/>
        <v xml:space="preserve">O                                                 </v>
      </c>
      <c r="AP260" s="29" t="s">
        <v>9</v>
      </c>
    </row>
    <row r="261" spans="2:42">
      <c r="B261" s="24">
        <v>247</v>
      </c>
      <c r="C261" s="24" t="str">
        <f t="shared" si="21"/>
        <v/>
      </c>
      <c r="D261" s="24" t="str">
        <f>IF(ISERROR(VLOOKUP(C261,Settings!A:B,2,FALSE)),C261,VLOOKUP(C261,Settings!A:B,2,FALSE))</f>
        <v/>
      </c>
      <c r="E261" s="30" t="str">
        <f t="shared" si="23"/>
        <v>H</v>
      </c>
      <c r="F261" s="24" t="str">
        <f t="shared" si="24"/>
        <v/>
      </c>
      <c r="G261" s="24" t="str">
        <f>IF(ISNA(VLOOKUP(F261,Settings!G:H,2,FALSE)),"",VLOOKUP(F261,Settings!G:H,2,FALSE))</f>
        <v/>
      </c>
      <c r="H261" s="25"/>
      <c r="AL261" s="29">
        <f t="shared" si="22"/>
        <v>2</v>
      </c>
      <c r="AM261" s="29"/>
      <c r="AN261" s="29" t="str">
        <f>IF(ISNA(VLOOKUP(AM261,Settings!G:H,2,FALSE)),"",VLOOKUP(AM261,Settings!G:H,2,FALSE))</f>
        <v/>
      </c>
      <c r="AO261" s="30" t="str">
        <f t="shared" si="25"/>
        <v xml:space="preserve">O                                                 </v>
      </c>
      <c r="AP261" s="29" t="s">
        <v>9</v>
      </c>
    </row>
    <row r="262" spans="2:42">
      <c r="B262" s="24">
        <v>248</v>
      </c>
      <c r="C262" s="24" t="str">
        <f t="shared" si="21"/>
        <v/>
      </c>
      <c r="D262" s="24" t="str">
        <f>IF(ISERROR(VLOOKUP(C262,Settings!A:B,2,FALSE)),C262,VLOOKUP(C262,Settings!A:B,2,FALSE))</f>
        <v/>
      </c>
      <c r="E262" s="30" t="str">
        <f t="shared" si="23"/>
        <v>H</v>
      </c>
      <c r="F262" s="24" t="str">
        <f t="shared" si="24"/>
        <v/>
      </c>
      <c r="G262" s="24" t="str">
        <f>IF(ISNA(VLOOKUP(F262,Settings!G:H,2,FALSE)),"",VLOOKUP(F262,Settings!G:H,2,FALSE))</f>
        <v/>
      </c>
      <c r="H262" s="25"/>
      <c r="AL262" s="29">
        <f t="shared" si="22"/>
        <v>3</v>
      </c>
      <c r="AM262" s="29"/>
      <c r="AN262" s="29" t="str">
        <f>IF(ISNA(VLOOKUP(AM262,Settings!G:H,2,FALSE)),"",VLOOKUP(AM262,Settings!G:H,2,FALSE))</f>
        <v/>
      </c>
      <c r="AO262" s="30" t="str">
        <f t="shared" si="25"/>
        <v xml:space="preserve">O                                                 </v>
      </c>
      <c r="AP262" s="29" t="s">
        <v>9</v>
      </c>
    </row>
    <row r="263" spans="2:42">
      <c r="B263" s="24">
        <v>249</v>
      </c>
      <c r="C263" s="24" t="str">
        <f t="shared" si="21"/>
        <v/>
      </c>
      <c r="D263" s="24" t="str">
        <f>IF(ISERROR(VLOOKUP(C263,Settings!A:B,2,FALSE)),C263,VLOOKUP(C263,Settings!A:B,2,FALSE))</f>
        <v/>
      </c>
      <c r="E263" s="30" t="str">
        <f t="shared" si="23"/>
        <v>H</v>
      </c>
      <c r="F263" s="24" t="str">
        <f t="shared" si="24"/>
        <v/>
      </c>
      <c r="G263" s="24" t="str">
        <f>IF(ISNA(VLOOKUP(F263,Settings!G:H,2,FALSE)),"",VLOOKUP(F263,Settings!G:H,2,FALSE))</f>
        <v/>
      </c>
      <c r="H263" s="25"/>
      <c r="AL263" s="29">
        <f t="shared" si="22"/>
        <v>4</v>
      </c>
      <c r="AM263" s="29"/>
      <c r="AN263" s="29" t="str">
        <f>IF(ISNA(VLOOKUP(AM263,Settings!G:H,2,FALSE)),"",VLOOKUP(AM263,Settings!G:H,2,FALSE))</f>
        <v/>
      </c>
      <c r="AO263" s="30" t="str">
        <f t="shared" si="25"/>
        <v xml:space="preserve">O                                                 </v>
      </c>
      <c r="AP263" s="29" t="s">
        <v>9</v>
      </c>
    </row>
    <row r="264" spans="2:42">
      <c r="B264" s="24">
        <v>250</v>
      </c>
      <c r="C264" s="24" t="str">
        <f t="shared" si="21"/>
        <v/>
      </c>
      <c r="D264" s="24" t="str">
        <f>IF(ISERROR(VLOOKUP(C264,Settings!A:B,2,FALSE)),C264,VLOOKUP(C264,Settings!A:B,2,FALSE))</f>
        <v/>
      </c>
      <c r="E264" s="30" t="str">
        <f t="shared" si="23"/>
        <v>H</v>
      </c>
      <c r="F264" s="24" t="str">
        <f t="shared" si="24"/>
        <v/>
      </c>
      <c r="G264" s="24" t="str">
        <f>IF(ISNA(VLOOKUP(F264,Settings!G:H,2,FALSE)),"",VLOOKUP(F264,Settings!G:H,2,FALSE))</f>
        <v/>
      </c>
      <c r="H264" s="25"/>
      <c r="AL264" s="29">
        <f t="shared" si="22"/>
        <v>5</v>
      </c>
      <c r="AM264" s="29"/>
      <c r="AN264" s="29" t="str">
        <f>IF(ISNA(VLOOKUP(AM264,Settings!G:H,2,FALSE)),"",VLOOKUP(AM264,Settings!G:H,2,FALSE))</f>
        <v/>
      </c>
      <c r="AO264" s="30" t="str">
        <f t="shared" si="25"/>
        <v xml:space="preserve">O                                                 </v>
      </c>
      <c r="AP264" s="29" t="s">
        <v>9</v>
      </c>
    </row>
    <row r="265" spans="2:42">
      <c r="B265" s="24">
        <v>251</v>
      </c>
      <c r="C265" s="24" t="str">
        <f t="shared" si="21"/>
        <v/>
      </c>
      <c r="D265" s="24" t="str">
        <f>IF(ISERROR(VLOOKUP(C265,Settings!A:B,2,FALSE)),C265,VLOOKUP(C265,Settings!A:B,2,FALSE))</f>
        <v/>
      </c>
      <c r="E265" s="30" t="str">
        <f t="shared" si="23"/>
        <v>H</v>
      </c>
      <c r="F265" s="24" t="str">
        <f t="shared" si="24"/>
        <v/>
      </c>
      <c r="G265" s="24" t="str">
        <f>IF(ISNA(VLOOKUP(F265,Settings!G:H,2,FALSE)),"",VLOOKUP(F265,Settings!G:H,2,FALSE))</f>
        <v/>
      </c>
      <c r="H265" s="25"/>
      <c r="AL265" s="29">
        <f t="shared" si="22"/>
        <v>1</v>
      </c>
      <c r="AM265" s="29"/>
      <c r="AN265" s="29" t="str">
        <f>IF(ISNA(VLOOKUP(AM265,Settings!G:H,2,FALSE)),"",VLOOKUP(AM265,Settings!G:H,2,FALSE))</f>
        <v/>
      </c>
      <c r="AO265" s="30" t="str">
        <f t="shared" si="25"/>
        <v xml:space="preserve">O                                                  </v>
      </c>
      <c r="AP265" s="29" t="s">
        <v>9</v>
      </c>
    </row>
    <row r="266" spans="2:42">
      <c r="B266" s="24">
        <v>252</v>
      </c>
      <c r="C266" s="24" t="str">
        <f t="shared" si="21"/>
        <v/>
      </c>
      <c r="D266" s="24" t="str">
        <f>IF(ISERROR(VLOOKUP(C266,Settings!A:B,2,FALSE)),C266,VLOOKUP(C266,Settings!A:B,2,FALSE))</f>
        <v/>
      </c>
      <c r="E266" s="30" t="str">
        <f t="shared" si="23"/>
        <v>H</v>
      </c>
      <c r="F266" s="24" t="str">
        <f t="shared" si="24"/>
        <v/>
      </c>
      <c r="G266" s="24" t="str">
        <f>IF(ISNA(VLOOKUP(F266,Settings!G:H,2,FALSE)),"",VLOOKUP(F266,Settings!G:H,2,FALSE))</f>
        <v/>
      </c>
      <c r="H266" s="25"/>
      <c r="AL266" s="29">
        <f t="shared" si="22"/>
        <v>2</v>
      </c>
      <c r="AM266" s="29"/>
      <c r="AN266" s="29" t="str">
        <f>IF(ISNA(VLOOKUP(AM266,Settings!G:H,2,FALSE)),"",VLOOKUP(AM266,Settings!G:H,2,FALSE))</f>
        <v/>
      </c>
      <c r="AO266" s="30" t="str">
        <f t="shared" si="25"/>
        <v xml:space="preserve">O                                                  </v>
      </c>
      <c r="AP266" s="29" t="s">
        <v>9</v>
      </c>
    </row>
    <row r="267" spans="2:42">
      <c r="B267" s="24">
        <v>253</v>
      </c>
      <c r="C267" s="24" t="str">
        <f t="shared" si="21"/>
        <v/>
      </c>
      <c r="D267" s="24" t="str">
        <f>IF(ISERROR(VLOOKUP(C267,Settings!A:B,2,FALSE)),C267,VLOOKUP(C267,Settings!A:B,2,FALSE))</f>
        <v/>
      </c>
      <c r="E267" s="30" t="str">
        <f t="shared" si="23"/>
        <v>H</v>
      </c>
      <c r="F267" s="24" t="str">
        <f t="shared" si="24"/>
        <v/>
      </c>
      <c r="G267" s="24" t="str">
        <f>IF(ISNA(VLOOKUP(F267,Settings!G:H,2,FALSE)),"",VLOOKUP(F267,Settings!G:H,2,FALSE))</f>
        <v/>
      </c>
      <c r="H267" s="25"/>
      <c r="AL267" s="29">
        <f t="shared" si="22"/>
        <v>3</v>
      </c>
      <c r="AM267" s="29"/>
      <c r="AN267" s="29" t="str">
        <f>IF(ISNA(VLOOKUP(AM267,Settings!G:H,2,FALSE)),"",VLOOKUP(AM267,Settings!G:H,2,FALSE))</f>
        <v/>
      </c>
      <c r="AO267" s="30" t="str">
        <f t="shared" si="25"/>
        <v xml:space="preserve">O                                                  </v>
      </c>
      <c r="AP267" s="29" t="s">
        <v>9</v>
      </c>
    </row>
    <row r="268" spans="2:42">
      <c r="B268" s="24">
        <v>254</v>
      </c>
      <c r="C268" s="24" t="str">
        <f t="shared" si="21"/>
        <v/>
      </c>
      <c r="D268" s="24" t="str">
        <f>IF(ISERROR(VLOOKUP(C268,Settings!A:B,2,FALSE)),C268,VLOOKUP(C268,Settings!A:B,2,FALSE))</f>
        <v/>
      </c>
      <c r="E268" s="30" t="str">
        <f t="shared" si="23"/>
        <v>H</v>
      </c>
      <c r="F268" s="24" t="str">
        <f t="shared" si="24"/>
        <v/>
      </c>
      <c r="G268" s="24" t="str">
        <f>IF(ISNA(VLOOKUP(F268,Settings!G:H,2,FALSE)),"",VLOOKUP(F268,Settings!G:H,2,FALSE))</f>
        <v/>
      </c>
      <c r="H268" s="25"/>
      <c r="AL268" s="29">
        <f t="shared" si="22"/>
        <v>4</v>
      </c>
      <c r="AM268" s="29"/>
      <c r="AN268" s="29" t="str">
        <f>IF(ISNA(VLOOKUP(AM268,Settings!G:H,2,FALSE)),"",VLOOKUP(AM268,Settings!G:H,2,FALSE))</f>
        <v/>
      </c>
      <c r="AO268" s="30" t="str">
        <f t="shared" si="25"/>
        <v xml:space="preserve">O                                                  </v>
      </c>
      <c r="AP268" s="29" t="s">
        <v>9</v>
      </c>
    </row>
    <row r="269" spans="2:42">
      <c r="B269" s="24">
        <v>255</v>
      </c>
      <c r="C269" s="24" t="str">
        <f t="shared" si="21"/>
        <v/>
      </c>
      <c r="D269" s="24" t="str">
        <f>IF(ISERROR(VLOOKUP(C269,Settings!A:B,2,FALSE)),C269,VLOOKUP(C269,Settings!A:B,2,FALSE))</f>
        <v/>
      </c>
      <c r="E269" s="30" t="str">
        <f t="shared" si="23"/>
        <v>H</v>
      </c>
      <c r="F269" s="24" t="str">
        <f t="shared" si="24"/>
        <v/>
      </c>
      <c r="G269" s="24" t="str">
        <f>IF(ISNA(VLOOKUP(F269,Settings!G:H,2,FALSE)),"",VLOOKUP(F269,Settings!G:H,2,FALSE))</f>
        <v/>
      </c>
      <c r="H269" s="25"/>
      <c r="AL269" s="29">
        <f t="shared" si="22"/>
        <v>5</v>
      </c>
      <c r="AM269" s="29"/>
      <c r="AN269" s="29" t="str">
        <f>IF(ISNA(VLOOKUP(AM269,Settings!G:H,2,FALSE)),"",VLOOKUP(AM269,Settings!G:H,2,FALSE))</f>
        <v/>
      </c>
      <c r="AO269" s="30" t="str">
        <f t="shared" si="25"/>
        <v xml:space="preserve">O                                                  </v>
      </c>
      <c r="AP269" s="29" t="s">
        <v>9</v>
      </c>
    </row>
    <row r="270" spans="2:42">
      <c r="B270" s="24">
        <v>256</v>
      </c>
      <c r="C270" s="24" t="str">
        <f t="shared" si="21"/>
        <v/>
      </c>
      <c r="D270" s="24" t="str">
        <f>IF(ISERROR(VLOOKUP(C270,Settings!A:B,2,FALSE)),C270,VLOOKUP(C270,Settings!A:B,2,FALSE))</f>
        <v/>
      </c>
      <c r="E270" s="30" t="str">
        <f t="shared" si="23"/>
        <v>H</v>
      </c>
      <c r="F270" s="24" t="str">
        <f t="shared" si="24"/>
        <v/>
      </c>
      <c r="G270" s="24" t="str">
        <f>IF(ISNA(VLOOKUP(F270,Settings!G:H,2,FALSE)),"",VLOOKUP(F270,Settings!G:H,2,FALSE))</f>
        <v/>
      </c>
      <c r="H270" s="25"/>
      <c r="AL270" s="29">
        <f t="shared" si="22"/>
        <v>1</v>
      </c>
      <c r="AM270" s="29"/>
      <c r="AN270" s="29" t="str">
        <f>IF(ISNA(VLOOKUP(AM270,Settings!G:H,2,FALSE)),"",VLOOKUP(AM270,Settings!G:H,2,FALSE))</f>
        <v/>
      </c>
      <c r="AO270" s="30" t="str">
        <f t="shared" si="25"/>
        <v xml:space="preserve">O                                                   </v>
      </c>
      <c r="AP270" s="29" t="s">
        <v>9</v>
      </c>
    </row>
    <row r="271" spans="2:42">
      <c r="B271" s="24">
        <v>257</v>
      </c>
      <c r="C271" s="24" t="str">
        <f t="shared" si="21"/>
        <v/>
      </c>
      <c r="D271" s="24" t="str">
        <f>IF(ISERROR(VLOOKUP(C271,Settings!A:B,2,FALSE)),C271,VLOOKUP(C271,Settings!A:B,2,FALSE))</f>
        <v/>
      </c>
      <c r="E271" s="30" t="str">
        <f t="shared" si="23"/>
        <v>H</v>
      </c>
      <c r="F271" s="24" t="str">
        <f t="shared" si="24"/>
        <v/>
      </c>
      <c r="G271" s="24" t="str">
        <f>IF(ISNA(VLOOKUP(F271,Settings!G:H,2,FALSE)),"",VLOOKUP(F271,Settings!G:H,2,FALSE))</f>
        <v/>
      </c>
      <c r="H271" s="25"/>
      <c r="AL271" s="29">
        <f t="shared" si="22"/>
        <v>2</v>
      </c>
      <c r="AM271" s="29"/>
      <c r="AN271" s="29" t="str">
        <f>IF(ISNA(VLOOKUP(AM271,Settings!G:H,2,FALSE)),"",VLOOKUP(AM271,Settings!G:H,2,FALSE))</f>
        <v/>
      </c>
      <c r="AO271" s="30" t="str">
        <f t="shared" si="25"/>
        <v xml:space="preserve">O                                                   </v>
      </c>
      <c r="AP271" s="29" t="s">
        <v>9</v>
      </c>
    </row>
    <row r="272" spans="2:42">
      <c r="B272" s="24">
        <v>258</v>
      </c>
      <c r="C272" s="24" t="str">
        <f t="shared" ref="C272:C335" si="26">MID(Inputtext,B272,1)</f>
        <v/>
      </c>
      <c r="D272" s="24" t="str">
        <f>IF(ISERROR(VLOOKUP(C272,Settings!A:B,2,FALSE)),C272,VLOOKUP(C272,Settings!A:B,2,FALSE))</f>
        <v/>
      </c>
      <c r="E272" s="30" t="str">
        <f t="shared" si="23"/>
        <v>H</v>
      </c>
      <c r="F272" s="24" t="str">
        <f t="shared" si="24"/>
        <v/>
      </c>
      <c r="G272" s="24" t="str">
        <f>IF(ISNA(VLOOKUP(F272,Settings!G:H,2,FALSE)),"",VLOOKUP(F272,Settings!G:H,2,FALSE))</f>
        <v/>
      </c>
      <c r="H272" s="25"/>
      <c r="AL272" s="29">
        <f t="shared" ref="AL272:AL335" si="27">IF(AL271=5,1,AL271+1)</f>
        <v>3</v>
      </c>
      <c r="AM272" s="29"/>
      <c r="AN272" s="29" t="str">
        <f>IF(ISNA(VLOOKUP(AM272,Settings!G:H,2,FALSE)),"",VLOOKUP(AM272,Settings!G:H,2,FALSE))</f>
        <v/>
      </c>
      <c r="AO272" s="30" t="str">
        <f t="shared" si="25"/>
        <v xml:space="preserve">O                                                   </v>
      </c>
      <c r="AP272" s="29" t="s">
        <v>9</v>
      </c>
    </row>
    <row r="273" spans="2:42">
      <c r="B273" s="24">
        <v>259</v>
      </c>
      <c r="C273" s="24" t="str">
        <f t="shared" si="26"/>
        <v/>
      </c>
      <c r="D273" s="24" t="str">
        <f>IF(ISERROR(VLOOKUP(C273,Settings!A:B,2,FALSE)),C273,VLOOKUP(C273,Settings!A:B,2,FALSE))</f>
        <v/>
      </c>
      <c r="E273" s="30" t="str">
        <f t="shared" ref="E273:E336" si="28">E272&amp;UPPER(D273)</f>
        <v>H</v>
      </c>
      <c r="F273" s="24" t="str">
        <f t="shared" ref="F273:F336" si="29">MID($E$514,B273,1)</f>
        <v/>
      </c>
      <c r="G273" s="24" t="str">
        <f>IF(ISNA(VLOOKUP(F273,Settings!G:H,2,FALSE)),"",VLOOKUP(F273,Settings!G:H,2,FALSE))</f>
        <v/>
      </c>
      <c r="H273" s="25"/>
      <c r="AL273" s="29">
        <f t="shared" si="27"/>
        <v>4</v>
      </c>
      <c r="AM273" s="29"/>
      <c r="AN273" s="29" t="str">
        <f>IF(ISNA(VLOOKUP(AM273,Settings!G:H,2,FALSE)),"",VLOOKUP(AM273,Settings!G:H,2,FALSE))</f>
        <v/>
      </c>
      <c r="AO273" s="30" t="str">
        <f t="shared" ref="AO273:AO336" si="30">IF(AL273=1,AO272&amp;" "&amp;AN273,AO272&amp;AN273)</f>
        <v xml:space="preserve">O                                                   </v>
      </c>
      <c r="AP273" s="29" t="s">
        <v>9</v>
      </c>
    </row>
    <row r="274" spans="2:42">
      <c r="B274" s="24">
        <v>260</v>
      </c>
      <c r="C274" s="24" t="str">
        <f t="shared" si="26"/>
        <v/>
      </c>
      <c r="D274" s="24" t="str">
        <f>IF(ISERROR(VLOOKUP(C274,Settings!A:B,2,FALSE)),C274,VLOOKUP(C274,Settings!A:B,2,FALSE))</f>
        <v/>
      </c>
      <c r="E274" s="30" t="str">
        <f t="shared" si="28"/>
        <v>H</v>
      </c>
      <c r="F274" s="24" t="str">
        <f t="shared" si="29"/>
        <v/>
      </c>
      <c r="G274" s="24" t="str">
        <f>IF(ISNA(VLOOKUP(F274,Settings!G:H,2,FALSE)),"",VLOOKUP(F274,Settings!G:H,2,FALSE))</f>
        <v/>
      </c>
      <c r="H274" s="25"/>
      <c r="AL274" s="29">
        <f t="shared" si="27"/>
        <v>5</v>
      </c>
      <c r="AM274" s="29"/>
      <c r="AN274" s="29" t="str">
        <f>IF(ISNA(VLOOKUP(AM274,Settings!G:H,2,FALSE)),"",VLOOKUP(AM274,Settings!G:H,2,FALSE))</f>
        <v/>
      </c>
      <c r="AO274" s="30" t="str">
        <f t="shared" si="30"/>
        <v xml:space="preserve">O                                                   </v>
      </c>
      <c r="AP274" s="29" t="s">
        <v>9</v>
      </c>
    </row>
    <row r="275" spans="2:42">
      <c r="B275" s="24">
        <v>261</v>
      </c>
      <c r="C275" s="24" t="str">
        <f t="shared" si="26"/>
        <v/>
      </c>
      <c r="D275" s="24" t="str">
        <f>IF(ISERROR(VLOOKUP(C275,Settings!A:B,2,FALSE)),C275,VLOOKUP(C275,Settings!A:B,2,FALSE))</f>
        <v/>
      </c>
      <c r="E275" s="30" t="str">
        <f t="shared" si="28"/>
        <v>H</v>
      </c>
      <c r="F275" s="24" t="str">
        <f t="shared" si="29"/>
        <v/>
      </c>
      <c r="G275" s="24" t="str">
        <f>IF(ISNA(VLOOKUP(F275,Settings!G:H,2,FALSE)),"",VLOOKUP(F275,Settings!G:H,2,FALSE))</f>
        <v/>
      </c>
      <c r="H275" s="25"/>
      <c r="AL275" s="29">
        <f t="shared" si="27"/>
        <v>1</v>
      </c>
      <c r="AM275" s="29"/>
      <c r="AN275" s="29" t="str">
        <f>IF(ISNA(VLOOKUP(AM275,Settings!G:H,2,FALSE)),"",VLOOKUP(AM275,Settings!G:H,2,FALSE))</f>
        <v/>
      </c>
      <c r="AO275" s="30" t="str">
        <f t="shared" si="30"/>
        <v xml:space="preserve">O                                                    </v>
      </c>
      <c r="AP275" s="29" t="s">
        <v>9</v>
      </c>
    </row>
    <row r="276" spans="2:42">
      <c r="B276" s="24">
        <v>262</v>
      </c>
      <c r="C276" s="24" t="str">
        <f t="shared" si="26"/>
        <v/>
      </c>
      <c r="D276" s="24" t="str">
        <f>IF(ISERROR(VLOOKUP(C276,Settings!A:B,2,FALSE)),C276,VLOOKUP(C276,Settings!A:B,2,FALSE))</f>
        <v/>
      </c>
      <c r="E276" s="30" t="str">
        <f t="shared" si="28"/>
        <v>H</v>
      </c>
      <c r="F276" s="24" t="str">
        <f t="shared" si="29"/>
        <v/>
      </c>
      <c r="G276" s="24" t="str">
        <f>IF(ISNA(VLOOKUP(F276,Settings!G:H,2,FALSE)),"",VLOOKUP(F276,Settings!G:H,2,FALSE))</f>
        <v/>
      </c>
      <c r="H276" s="25"/>
      <c r="AL276" s="29">
        <f t="shared" si="27"/>
        <v>2</v>
      </c>
      <c r="AM276" s="29"/>
      <c r="AN276" s="29" t="str">
        <f>IF(ISNA(VLOOKUP(AM276,Settings!G:H,2,FALSE)),"",VLOOKUP(AM276,Settings!G:H,2,FALSE))</f>
        <v/>
      </c>
      <c r="AO276" s="30" t="str">
        <f t="shared" si="30"/>
        <v xml:space="preserve">O                                                    </v>
      </c>
      <c r="AP276" s="29" t="s">
        <v>9</v>
      </c>
    </row>
    <row r="277" spans="2:42">
      <c r="B277" s="24">
        <v>263</v>
      </c>
      <c r="C277" s="24" t="str">
        <f t="shared" si="26"/>
        <v/>
      </c>
      <c r="D277" s="24" t="str">
        <f>IF(ISERROR(VLOOKUP(C277,Settings!A:B,2,FALSE)),C277,VLOOKUP(C277,Settings!A:B,2,FALSE))</f>
        <v/>
      </c>
      <c r="E277" s="30" t="str">
        <f t="shared" si="28"/>
        <v>H</v>
      </c>
      <c r="F277" s="24" t="str">
        <f t="shared" si="29"/>
        <v/>
      </c>
      <c r="G277" s="24" t="str">
        <f>IF(ISNA(VLOOKUP(F277,Settings!G:H,2,FALSE)),"",VLOOKUP(F277,Settings!G:H,2,FALSE))</f>
        <v/>
      </c>
      <c r="H277" s="25"/>
      <c r="AL277" s="29">
        <f t="shared" si="27"/>
        <v>3</v>
      </c>
      <c r="AM277" s="29"/>
      <c r="AN277" s="29" t="str">
        <f>IF(ISNA(VLOOKUP(AM277,Settings!G:H,2,FALSE)),"",VLOOKUP(AM277,Settings!G:H,2,FALSE))</f>
        <v/>
      </c>
      <c r="AO277" s="30" t="str">
        <f t="shared" si="30"/>
        <v xml:space="preserve">O                                                    </v>
      </c>
      <c r="AP277" s="29" t="s">
        <v>9</v>
      </c>
    </row>
    <row r="278" spans="2:42">
      <c r="B278" s="24">
        <v>264</v>
      </c>
      <c r="C278" s="24" t="str">
        <f t="shared" si="26"/>
        <v/>
      </c>
      <c r="D278" s="24" t="str">
        <f>IF(ISERROR(VLOOKUP(C278,Settings!A:B,2,FALSE)),C278,VLOOKUP(C278,Settings!A:B,2,FALSE))</f>
        <v/>
      </c>
      <c r="E278" s="30" t="str">
        <f t="shared" si="28"/>
        <v>H</v>
      </c>
      <c r="F278" s="24" t="str">
        <f t="shared" si="29"/>
        <v/>
      </c>
      <c r="G278" s="24" t="str">
        <f>IF(ISNA(VLOOKUP(F278,Settings!G:H,2,FALSE)),"",VLOOKUP(F278,Settings!G:H,2,FALSE))</f>
        <v/>
      </c>
      <c r="H278" s="25"/>
      <c r="AL278" s="29">
        <f t="shared" si="27"/>
        <v>4</v>
      </c>
      <c r="AM278" s="29"/>
      <c r="AN278" s="29" t="str">
        <f>IF(ISNA(VLOOKUP(AM278,Settings!G:H,2,FALSE)),"",VLOOKUP(AM278,Settings!G:H,2,FALSE))</f>
        <v/>
      </c>
      <c r="AO278" s="30" t="str">
        <f t="shared" si="30"/>
        <v xml:space="preserve">O                                                    </v>
      </c>
      <c r="AP278" s="29" t="s">
        <v>9</v>
      </c>
    </row>
    <row r="279" spans="2:42">
      <c r="B279" s="24">
        <v>265</v>
      </c>
      <c r="C279" s="24" t="str">
        <f t="shared" si="26"/>
        <v/>
      </c>
      <c r="D279" s="24" t="str">
        <f>IF(ISERROR(VLOOKUP(C279,Settings!A:B,2,FALSE)),C279,VLOOKUP(C279,Settings!A:B,2,FALSE))</f>
        <v/>
      </c>
      <c r="E279" s="30" t="str">
        <f t="shared" si="28"/>
        <v>H</v>
      </c>
      <c r="F279" s="24" t="str">
        <f t="shared" si="29"/>
        <v/>
      </c>
      <c r="G279" s="24" t="str">
        <f>IF(ISNA(VLOOKUP(F279,Settings!G:H,2,FALSE)),"",VLOOKUP(F279,Settings!G:H,2,FALSE))</f>
        <v/>
      </c>
      <c r="H279" s="25"/>
      <c r="AL279" s="29">
        <f t="shared" si="27"/>
        <v>5</v>
      </c>
      <c r="AM279" s="29"/>
      <c r="AN279" s="29" t="str">
        <f>IF(ISNA(VLOOKUP(AM279,Settings!G:H,2,FALSE)),"",VLOOKUP(AM279,Settings!G:H,2,FALSE))</f>
        <v/>
      </c>
      <c r="AO279" s="30" t="str">
        <f t="shared" si="30"/>
        <v xml:space="preserve">O                                                    </v>
      </c>
      <c r="AP279" s="29" t="s">
        <v>9</v>
      </c>
    </row>
    <row r="280" spans="2:42">
      <c r="B280" s="24">
        <v>266</v>
      </c>
      <c r="C280" s="24" t="str">
        <f t="shared" si="26"/>
        <v/>
      </c>
      <c r="D280" s="24" t="str">
        <f>IF(ISERROR(VLOOKUP(C280,Settings!A:B,2,FALSE)),C280,VLOOKUP(C280,Settings!A:B,2,FALSE))</f>
        <v/>
      </c>
      <c r="E280" s="30" t="str">
        <f t="shared" si="28"/>
        <v>H</v>
      </c>
      <c r="F280" s="24" t="str">
        <f t="shared" si="29"/>
        <v/>
      </c>
      <c r="G280" s="24" t="str">
        <f>IF(ISNA(VLOOKUP(F280,Settings!G:H,2,FALSE)),"",VLOOKUP(F280,Settings!G:H,2,FALSE))</f>
        <v/>
      </c>
      <c r="H280" s="25"/>
      <c r="AL280" s="29">
        <f t="shared" si="27"/>
        <v>1</v>
      </c>
      <c r="AM280" s="29"/>
      <c r="AN280" s="29" t="str">
        <f>IF(ISNA(VLOOKUP(AM280,Settings!G:H,2,FALSE)),"",VLOOKUP(AM280,Settings!G:H,2,FALSE))</f>
        <v/>
      </c>
      <c r="AO280" s="30" t="str">
        <f t="shared" si="30"/>
        <v xml:space="preserve">O                                                     </v>
      </c>
      <c r="AP280" s="29" t="s">
        <v>9</v>
      </c>
    </row>
    <row r="281" spans="2:42">
      <c r="B281" s="24">
        <v>267</v>
      </c>
      <c r="C281" s="24" t="str">
        <f t="shared" si="26"/>
        <v/>
      </c>
      <c r="D281" s="24" t="str">
        <f>IF(ISERROR(VLOOKUP(C281,Settings!A:B,2,FALSE)),C281,VLOOKUP(C281,Settings!A:B,2,FALSE))</f>
        <v/>
      </c>
      <c r="E281" s="30" t="str">
        <f t="shared" si="28"/>
        <v>H</v>
      </c>
      <c r="F281" s="24" t="str">
        <f t="shared" si="29"/>
        <v/>
      </c>
      <c r="G281" s="24" t="str">
        <f>IF(ISNA(VLOOKUP(F281,Settings!G:H,2,FALSE)),"",VLOOKUP(F281,Settings!G:H,2,FALSE))</f>
        <v/>
      </c>
      <c r="H281" s="25"/>
      <c r="AL281" s="29">
        <f t="shared" si="27"/>
        <v>2</v>
      </c>
      <c r="AM281" s="29"/>
      <c r="AN281" s="29" t="str">
        <f>IF(ISNA(VLOOKUP(AM281,Settings!G:H,2,FALSE)),"",VLOOKUP(AM281,Settings!G:H,2,FALSE))</f>
        <v/>
      </c>
      <c r="AO281" s="30" t="str">
        <f t="shared" si="30"/>
        <v xml:space="preserve">O                                                     </v>
      </c>
      <c r="AP281" s="29" t="s">
        <v>9</v>
      </c>
    </row>
    <row r="282" spans="2:42">
      <c r="B282" s="24">
        <v>268</v>
      </c>
      <c r="C282" s="24" t="str">
        <f t="shared" si="26"/>
        <v/>
      </c>
      <c r="D282" s="24" t="str">
        <f>IF(ISERROR(VLOOKUP(C282,Settings!A:B,2,FALSE)),C282,VLOOKUP(C282,Settings!A:B,2,FALSE))</f>
        <v/>
      </c>
      <c r="E282" s="30" t="str">
        <f t="shared" si="28"/>
        <v>H</v>
      </c>
      <c r="F282" s="24" t="str">
        <f t="shared" si="29"/>
        <v/>
      </c>
      <c r="G282" s="24" t="str">
        <f>IF(ISNA(VLOOKUP(F282,Settings!G:H,2,FALSE)),"",VLOOKUP(F282,Settings!G:H,2,FALSE))</f>
        <v/>
      </c>
      <c r="H282" s="25"/>
      <c r="AL282" s="29">
        <f t="shared" si="27"/>
        <v>3</v>
      </c>
      <c r="AM282" s="29"/>
      <c r="AN282" s="29" t="str">
        <f>IF(ISNA(VLOOKUP(AM282,Settings!G:H,2,FALSE)),"",VLOOKUP(AM282,Settings!G:H,2,FALSE))</f>
        <v/>
      </c>
      <c r="AO282" s="30" t="str">
        <f t="shared" si="30"/>
        <v xml:space="preserve">O                                                     </v>
      </c>
      <c r="AP282" s="29" t="s">
        <v>9</v>
      </c>
    </row>
    <row r="283" spans="2:42">
      <c r="B283" s="24">
        <v>269</v>
      </c>
      <c r="C283" s="24" t="str">
        <f t="shared" si="26"/>
        <v/>
      </c>
      <c r="D283" s="24" t="str">
        <f>IF(ISERROR(VLOOKUP(C283,Settings!A:B,2,FALSE)),C283,VLOOKUP(C283,Settings!A:B,2,FALSE))</f>
        <v/>
      </c>
      <c r="E283" s="30" t="str">
        <f t="shared" si="28"/>
        <v>H</v>
      </c>
      <c r="F283" s="24" t="str">
        <f t="shared" si="29"/>
        <v/>
      </c>
      <c r="G283" s="24" t="str">
        <f>IF(ISNA(VLOOKUP(F283,Settings!G:H,2,FALSE)),"",VLOOKUP(F283,Settings!G:H,2,FALSE))</f>
        <v/>
      </c>
      <c r="H283" s="25"/>
      <c r="AL283" s="29">
        <f t="shared" si="27"/>
        <v>4</v>
      </c>
      <c r="AM283" s="29"/>
      <c r="AN283" s="29" t="str">
        <f>IF(ISNA(VLOOKUP(AM283,Settings!G:H,2,FALSE)),"",VLOOKUP(AM283,Settings!G:H,2,FALSE))</f>
        <v/>
      </c>
      <c r="AO283" s="30" t="str">
        <f t="shared" si="30"/>
        <v xml:space="preserve">O                                                     </v>
      </c>
      <c r="AP283" s="29" t="s">
        <v>9</v>
      </c>
    </row>
    <row r="284" spans="2:42">
      <c r="B284" s="24">
        <v>270</v>
      </c>
      <c r="C284" s="24" t="str">
        <f t="shared" si="26"/>
        <v/>
      </c>
      <c r="D284" s="24" t="str">
        <f>IF(ISERROR(VLOOKUP(C284,Settings!A:B,2,FALSE)),C284,VLOOKUP(C284,Settings!A:B,2,FALSE))</f>
        <v/>
      </c>
      <c r="E284" s="30" t="str">
        <f t="shared" si="28"/>
        <v>H</v>
      </c>
      <c r="F284" s="24" t="str">
        <f t="shared" si="29"/>
        <v/>
      </c>
      <c r="G284" s="24" t="str">
        <f>IF(ISNA(VLOOKUP(F284,Settings!G:H,2,FALSE)),"",VLOOKUP(F284,Settings!G:H,2,FALSE))</f>
        <v/>
      </c>
      <c r="H284" s="25"/>
      <c r="AL284" s="29">
        <f t="shared" si="27"/>
        <v>5</v>
      </c>
      <c r="AM284" s="29"/>
      <c r="AN284" s="29" t="str">
        <f>IF(ISNA(VLOOKUP(AM284,Settings!G:H,2,FALSE)),"",VLOOKUP(AM284,Settings!G:H,2,FALSE))</f>
        <v/>
      </c>
      <c r="AO284" s="30" t="str">
        <f t="shared" si="30"/>
        <v xml:space="preserve">O                                                     </v>
      </c>
      <c r="AP284" s="29" t="s">
        <v>9</v>
      </c>
    </row>
    <row r="285" spans="2:42">
      <c r="B285" s="24">
        <v>271</v>
      </c>
      <c r="C285" s="24" t="str">
        <f t="shared" si="26"/>
        <v/>
      </c>
      <c r="D285" s="24" t="str">
        <f>IF(ISERROR(VLOOKUP(C285,Settings!A:B,2,FALSE)),C285,VLOOKUP(C285,Settings!A:B,2,FALSE))</f>
        <v/>
      </c>
      <c r="E285" s="30" t="str">
        <f t="shared" si="28"/>
        <v>H</v>
      </c>
      <c r="F285" s="24" t="str">
        <f t="shared" si="29"/>
        <v/>
      </c>
      <c r="G285" s="24" t="str">
        <f>IF(ISNA(VLOOKUP(F285,Settings!G:H,2,FALSE)),"",VLOOKUP(F285,Settings!G:H,2,FALSE))</f>
        <v/>
      </c>
      <c r="H285" s="25"/>
      <c r="AL285" s="29">
        <f t="shared" si="27"/>
        <v>1</v>
      </c>
      <c r="AM285" s="29"/>
      <c r="AN285" s="29" t="str">
        <f>IF(ISNA(VLOOKUP(AM285,Settings!G:H,2,FALSE)),"",VLOOKUP(AM285,Settings!G:H,2,FALSE))</f>
        <v/>
      </c>
      <c r="AO285" s="30" t="str">
        <f t="shared" si="30"/>
        <v xml:space="preserve">O                                                      </v>
      </c>
      <c r="AP285" s="29" t="s">
        <v>9</v>
      </c>
    </row>
    <row r="286" spans="2:42">
      <c r="B286" s="24">
        <v>272</v>
      </c>
      <c r="C286" s="24" t="str">
        <f t="shared" si="26"/>
        <v/>
      </c>
      <c r="D286" s="24" t="str">
        <f>IF(ISERROR(VLOOKUP(C286,Settings!A:B,2,FALSE)),C286,VLOOKUP(C286,Settings!A:B,2,FALSE))</f>
        <v/>
      </c>
      <c r="E286" s="30" t="str">
        <f t="shared" si="28"/>
        <v>H</v>
      </c>
      <c r="F286" s="24" t="str">
        <f t="shared" si="29"/>
        <v/>
      </c>
      <c r="G286" s="24" t="str">
        <f>IF(ISNA(VLOOKUP(F286,Settings!G:H,2,FALSE)),"",VLOOKUP(F286,Settings!G:H,2,FALSE))</f>
        <v/>
      </c>
      <c r="H286" s="25"/>
      <c r="AL286" s="29">
        <f t="shared" si="27"/>
        <v>2</v>
      </c>
      <c r="AM286" s="29"/>
      <c r="AN286" s="29" t="str">
        <f>IF(ISNA(VLOOKUP(AM286,Settings!G:H,2,FALSE)),"",VLOOKUP(AM286,Settings!G:H,2,FALSE))</f>
        <v/>
      </c>
      <c r="AO286" s="30" t="str">
        <f t="shared" si="30"/>
        <v xml:space="preserve">O                                                      </v>
      </c>
      <c r="AP286" s="29" t="s">
        <v>9</v>
      </c>
    </row>
    <row r="287" spans="2:42">
      <c r="B287" s="24">
        <v>273</v>
      </c>
      <c r="C287" s="24" t="str">
        <f t="shared" si="26"/>
        <v/>
      </c>
      <c r="D287" s="24" t="str">
        <f>IF(ISERROR(VLOOKUP(C287,Settings!A:B,2,FALSE)),C287,VLOOKUP(C287,Settings!A:B,2,FALSE))</f>
        <v/>
      </c>
      <c r="E287" s="30" t="str">
        <f t="shared" si="28"/>
        <v>H</v>
      </c>
      <c r="F287" s="24" t="str">
        <f t="shared" si="29"/>
        <v/>
      </c>
      <c r="G287" s="24" t="str">
        <f>IF(ISNA(VLOOKUP(F287,Settings!G:H,2,FALSE)),"",VLOOKUP(F287,Settings!G:H,2,FALSE))</f>
        <v/>
      </c>
      <c r="H287" s="25"/>
      <c r="AL287" s="29">
        <f t="shared" si="27"/>
        <v>3</v>
      </c>
      <c r="AM287" s="29"/>
      <c r="AN287" s="29" t="str">
        <f>IF(ISNA(VLOOKUP(AM287,Settings!G:H,2,FALSE)),"",VLOOKUP(AM287,Settings!G:H,2,FALSE))</f>
        <v/>
      </c>
      <c r="AO287" s="30" t="str">
        <f t="shared" si="30"/>
        <v xml:space="preserve">O                                                      </v>
      </c>
      <c r="AP287" s="29" t="s">
        <v>9</v>
      </c>
    </row>
    <row r="288" spans="2:42">
      <c r="B288" s="24">
        <v>274</v>
      </c>
      <c r="C288" s="24" t="str">
        <f t="shared" si="26"/>
        <v/>
      </c>
      <c r="D288" s="24" t="str">
        <f>IF(ISERROR(VLOOKUP(C288,Settings!A:B,2,FALSE)),C288,VLOOKUP(C288,Settings!A:B,2,FALSE))</f>
        <v/>
      </c>
      <c r="E288" s="30" t="str">
        <f t="shared" si="28"/>
        <v>H</v>
      </c>
      <c r="F288" s="24" t="str">
        <f t="shared" si="29"/>
        <v/>
      </c>
      <c r="G288" s="24" t="str">
        <f>IF(ISNA(VLOOKUP(F288,Settings!G:H,2,FALSE)),"",VLOOKUP(F288,Settings!G:H,2,FALSE))</f>
        <v/>
      </c>
      <c r="H288" s="25"/>
      <c r="AL288" s="29">
        <f t="shared" si="27"/>
        <v>4</v>
      </c>
      <c r="AM288" s="29"/>
      <c r="AN288" s="29" t="str">
        <f>IF(ISNA(VLOOKUP(AM288,Settings!G:H,2,FALSE)),"",VLOOKUP(AM288,Settings!G:H,2,FALSE))</f>
        <v/>
      </c>
      <c r="AO288" s="30" t="str">
        <f t="shared" si="30"/>
        <v xml:space="preserve">O                                                      </v>
      </c>
      <c r="AP288" s="29" t="s">
        <v>9</v>
      </c>
    </row>
    <row r="289" spans="2:42">
      <c r="B289" s="24">
        <v>275</v>
      </c>
      <c r="C289" s="24" t="str">
        <f t="shared" si="26"/>
        <v/>
      </c>
      <c r="D289" s="24" t="str">
        <f>IF(ISERROR(VLOOKUP(C289,Settings!A:B,2,FALSE)),C289,VLOOKUP(C289,Settings!A:B,2,FALSE))</f>
        <v/>
      </c>
      <c r="E289" s="30" t="str">
        <f t="shared" si="28"/>
        <v>H</v>
      </c>
      <c r="F289" s="24" t="str">
        <f t="shared" si="29"/>
        <v/>
      </c>
      <c r="G289" s="24" t="str">
        <f>IF(ISNA(VLOOKUP(F289,Settings!G:H,2,FALSE)),"",VLOOKUP(F289,Settings!G:H,2,FALSE))</f>
        <v/>
      </c>
      <c r="H289" s="25"/>
      <c r="AL289" s="29">
        <f t="shared" si="27"/>
        <v>5</v>
      </c>
      <c r="AM289" s="29"/>
      <c r="AN289" s="29" t="str">
        <f>IF(ISNA(VLOOKUP(AM289,Settings!G:H,2,FALSE)),"",VLOOKUP(AM289,Settings!G:H,2,FALSE))</f>
        <v/>
      </c>
      <c r="AO289" s="30" t="str">
        <f t="shared" si="30"/>
        <v xml:space="preserve">O                                                      </v>
      </c>
      <c r="AP289" s="29" t="s">
        <v>9</v>
      </c>
    </row>
    <row r="290" spans="2:42">
      <c r="B290" s="24">
        <v>276</v>
      </c>
      <c r="C290" s="24" t="str">
        <f t="shared" si="26"/>
        <v/>
      </c>
      <c r="D290" s="24" t="str">
        <f>IF(ISERROR(VLOOKUP(C290,Settings!A:B,2,FALSE)),C290,VLOOKUP(C290,Settings!A:B,2,FALSE))</f>
        <v/>
      </c>
      <c r="E290" s="30" t="str">
        <f t="shared" si="28"/>
        <v>H</v>
      </c>
      <c r="F290" s="24" t="str">
        <f t="shared" si="29"/>
        <v/>
      </c>
      <c r="G290" s="24" t="str">
        <f>IF(ISNA(VLOOKUP(F290,Settings!G:H,2,FALSE)),"",VLOOKUP(F290,Settings!G:H,2,FALSE))</f>
        <v/>
      </c>
      <c r="H290" s="25"/>
      <c r="AL290" s="29">
        <f t="shared" si="27"/>
        <v>1</v>
      </c>
      <c r="AM290" s="29"/>
      <c r="AN290" s="29" t="str">
        <f>IF(ISNA(VLOOKUP(AM290,Settings!G:H,2,FALSE)),"",VLOOKUP(AM290,Settings!G:H,2,FALSE))</f>
        <v/>
      </c>
      <c r="AO290" s="30" t="str">
        <f t="shared" si="30"/>
        <v xml:space="preserve">O                                                       </v>
      </c>
      <c r="AP290" s="29" t="s">
        <v>9</v>
      </c>
    </row>
    <row r="291" spans="2:42">
      <c r="B291" s="24">
        <v>277</v>
      </c>
      <c r="C291" s="24" t="str">
        <f t="shared" si="26"/>
        <v/>
      </c>
      <c r="D291" s="24" t="str">
        <f>IF(ISERROR(VLOOKUP(C291,Settings!A:B,2,FALSE)),C291,VLOOKUP(C291,Settings!A:B,2,FALSE))</f>
        <v/>
      </c>
      <c r="E291" s="30" t="str">
        <f t="shared" si="28"/>
        <v>H</v>
      </c>
      <c r="F291" s="24" t="str">
        <f t="shared" si="29"/>
        <v/>
      </c>
      <c r="G291" s="24" t="str">
        <f>IF(ISNA(VLOOKUP(F291,Settings!G:H,2,FALSE)),"",VLOOKUP(F291,Settings!G:H,2,FALSE))</f>
        <v/>
      </c>
      <c r="H291" s="25"/>
      <c r="AL291" s="29">
        <f t="shared" si="27"/>
        <v>2</v>
      </c>
      <c r="AM291" s="29"/>
      <c r="AN291" s="29" t="str">
        <f>IF(ISNA(VLOOKUP(AM291,Settings!G:H,2,FALSE)),"",VLOOKUP(AM291,Settings!G:H,2,FALSE))</f>
        <v/>
      </c>
      <c r="AO291" s="30" t="str">
        <f t="shared" si="30"/>
        <v xml:space="preserve">O                                                       </v>
      </c>
      <c r="AP291" s="29" t="s">
        <v>9</v>
      </c>
    </row>
    <row r="292" spans="2:42">
      <c r="B292" s="24">
        <v>278</v>
      </c>
      <c r="C292" s="24" t="str">
        <f t="shared" si="26"/>
        <v/>
      </c>
      <c r="D292" s="24" t="str">
        <f>IF(ISERROR(VLOOKUP(C292,Settings!A:B,2,FALSE)),C292,VLOOKUP(C292,Settings!A:B,2,FALSE))</f>
        <v/>
      </c>
      <c r="E292" s="30" t="str">
        <f t="shared" si="28"/>
        <v>H</v>
      </c>
      <c r="F292" s="24" t="str">
        <f t="shared" si="29"/>
        <v/>
      </c>
      <c r="G292" s="24" t="str">
        <f>IF(ISNA(VLOOKUP(F292,Settings!G:H,2,FALSE)),"",VLOOKUP(F292,Settings!G:H,2,FALSE))</f>
        <v/>
      </c>
      <c r="H292" s="25"/>
      <c r="AL292" s="29">
        <f t="shared" si="27"/>
        <v>3</v>
      </c>
      <c r="AM292" s="29"/>
      <c r="AN292" s="29" t="str">
        <f>IF(ISNA(VLOOKUP(AM292,Settings!G:H,2,FALSE)),"",VLOOKUP(AM292,Settings!G:H,2,FALSE))</f>
        <v/>
      </c>
      <c r="AO292" s="30" t="str">
        <f t="shared" si="30"/>
        <v xml:space="preserve">O                                                       </v>
      </c>
      <c r="AP292" s="29" t="s">
        <v>9</v>
      </c>
    </row>
    <row r="293" spans="2:42">
      <c r="B293" s="24">
        <v>279</v>
      </c>
      <c r="C293" s="24" t="str">
        <f t="shared" si="26"/>
        <v/>
      </c>
      <c r="D293" s="24" t="str">
        <f>IF(ISERROR(VLOOKUP(C293,Settings!A:B,2,FALSE)),C293,VLOOKUP(C293,Settings!A:B,2,FALSE))</f>
        <v/>
      </c>
      <c r="E293" s="30" t="str">
        <f t="shared" si="28"/>
        <v>H</v>
      </c>
      <c r="F293" s="24" t="str">
        <f t="shared" si="29"/>
        <v/>
      </c>
      <c r="G293" s="24" t="str">
        <f>IF(ISNA(VLOOKUP(F293,Settings!G:H,2,FALSE)),"",VLOOKUP(F293,Settings!G:H,2,FALSE))</f>
        <v/>
      </c>
      <c r="H293" s="25"/>
      <c r="AL293" s="29">
        <f t="shared" si="27"/>
        <v>4</v>
      </c>
      <c r="AM293" s="29"/>
      <c r="AN293" s="29" t="str">
        <f>IF(ISNA(VLOOKUP(AM293,Settings!G:H,2,FALSE)),"",VLOOKUP(AM293,Settings!G:H,2,FALSE))</f>
        <v/>
      </c>
      <c r="AO293" s="30" t="str">
        <f t="shared" si="30"/>
        <v xml:space="preserve">O                                                       </v>
      </c>
      <c r="AP293" s="29" t="s">
        <v>9</v>
      </c>
    </row>
    <row r="294" spans="2:42">
      <c r="B294" s="24">
        <v>280</v>
      </c>
      <c r="C294" s="24" t="str">
        <f t="shared" si="26"/>
        <v/>
      </c>
      <c r="D294" s="24" t="str">
        <f>IF(ISERROR(VLOOKUP(C294,Settings!A:B,2,FALSE)),C294,VLOOKUP(C294,Settings!A:B,2,FALSE))</f>
        <v/>
      </c>
      <c r="E294" s="30" t="str">
        <f t="shared" si="28"/>
        <v>H</v>
      </c>
      <c r="F294" s="24" t="str">
        <f t="shared" si="29"/>
        <v/>
      </c>
      <c r="G294" s="24" t="str">
        <f>IF(ISNA(VLOOKUP(F294,Settings!G:H,2,FALSE)),"",VLOOKUP(F294,Settings!G:H,2,FALSE))</f>
        <v/>
      </c>
      <c r="H294" s="25"/>
      <c r="AL294" s="29">
        <f t="shared" si="27"/>
        <v>5</v>
      </c>
      <c r="AM294" s="29"/>
      <c r="AN294" s="29" t="str">
        <f>IF(ISNA(VLOOKUP(AM294,Settings!G:H,2,FALSE)),"",VLOOKUP(AM294,Settings!G:H,2,FALSE))</f>
        <v/>
      </c>
      <c r="AO294" s="30" t="str">
        <f t="shared" si="30"/>
        <v xml:space="preserve">O                                                       </v>
      </c>
      <c r="AP294" s="29" t="s">
        <v>9</v>
      </c>
    </row>
    <row r="295" spans="2:42">
      <c r="B295" s="24">
        <v>281</v>
      </c>
      <c r="C295" s="24" t="str">
        <f t="shared" si="26"/>
        <v/>
      </c>
      <c r="D295" s="24" t="str">
        <f>IF(ISERROR(VLOOKUP(C295,Settings!A:B,2,FALSE)),C295,VLOOKUP(C295,Settings!A:B,2,FALSE))</f>
        <v/>
      </c>
      <c r="E295" s="30" t="str">
        <f t="shared" si="28"/>
        <v>H</v>
      </c>
      <c r="F295" s="24" t="str">
        <f t="shared" si="29"/>
        <v/>
      </c>
      <c r="G295" s="24" t="str">
        <f>IF(ISNA(VLOOKUP(F295,Settings!G:H,2,FALSE)),"",VLOOKUP(F295,Settings!G:H,2,FALSE))</f>
        <v/>
      </c>
      <c r="H295" s="25"/>
      <c r="AL295" s="29">
        <f t="shared" si="27"/>
        <v>1</v>
      </c>
      <c r="AM295" s="29"/>
      <c r="AN295" s="29" t="str">
        <f>IF(ISNA(VLOOKUP(AM295,Settings!G:H,2,FALSE)),"",VLOOKUP(AM295,Settings!G:H,2,FALSE))</f>
        <v/>
      </c>
      <c r="AO295" s="30" t="str">
        <f t="shared" si="30"/>
        <v xml:space="preserve">O                                                        </v>
      </c>
      <c r="AP295" s="29" t="s">
        <v>9</v>
      </c>
    </row>
    <row r="296" spans="2:42">
      <c r="B296" s="24">
        <v>282</v>
      </c>
      <c r="C296" s="24" t="str">
        <f t="shared" si="26"/>
        <v/>
      </c>
      <c r="D296" s="24" t="str">
        <f>IF(ISERROR(VLOOKUP(C296,Settings!A:B,2,FALSE)),C296,VLOOKUP(C296,Settings!A:B,2,FALSE))</f>
        <v/>
      </c>
      <c r="E296" s="30" t="str">
        <f t="shared" si="28"/>
        <v>H</v>
      </c>
      <c r="F296" s="24" t="str">
        <f t="shared" si="29"/>
        <v/>
      </c>
      <c r="G296" s="24" t="str">
        <f>IF(ISNA(VLOOKUP(F296,Settings!G:H,2,FALSE)),"",VLOOKUP(F296,Settings!G:H,2,FALSE))</f>
        <v/>
      </c>
      <c r="H296" s="25"/>
      <c r="AL296" s="29">
        <f t="shared" si="27"/>
        <v>2</v>
      </c>
      <c r="AM296" s="29"/>
      <c r="AN296" s="29" t="str">
        <f>IF(ISNA(VLOOKUP(AM296,Settings!G:H,2,FALSE)),"",VLOOKUP(AM296,Settings!G:H,2,FALSE))</f>
        <v/>
      </c>
      <c r="AO296" s="30" t="str">
        <f t="shared" si="30"/>
        <v xml:space="preserve">O                                                        </v>
      </c>
      <c r="AP296" s="29" t="s">
        <v>9</v>
      </c>
    </row>
    <row r="297" spans="2:42">
      <c r="B297" s="24">
        <v>283</v>
      </c>
      <c r="C297" s="24" t="str">
        <f t="shared" si="26"/>
        <v/>
      </c>
      <c r="D297" s="24" t="str">
        <f>IF(ISERROR(VLOOKUP(C297,Settings!A:B,2,FALSE)),C297,VLOOKUP(C297,Settings!A:B,2,FALSE))</f>
        <v/>
      </c>
      <c r="E297" s="30" t="str">
        <f t="shared" si="28"/>
        <v>H</v>
      </c>
      <c r="F297" s="24" t="str">
        <f t="shared" si="29"/>
        <v/>
      </c>
      <c r="G297" s="24" t="str">
        <f>IF(ISNA(VLOOKUP(F297,Settings!G:H,2,FALSE)),"",VLOOKUP(F297,Settings!G:H,2,FALSE))</f>
        <v/>
      </c>
      <c r="H297" s="25"/>
      <c r="AL297" s="29">
        <f t="shared" si="27"/>
        <v>3</v>
      </c>
      <c r="AM297" s="29"/>
      <c r="AN297" s="29" t="str">
        <f>IF(ISNA(VLOOKUP(AM297,Settings!G:H,2,FALSE)),"",VLOOKUP(AM297,Settings!G:H,2,FALSE))</f>
        <v/>
      </c>
      <c r="AO297" s="30" t="str">
        <f t="shared" si="30"/>
        <v xml:space="preserve">O                                                        </v>
      </c>
      <c r="AP297" s="29" t="s">
        <v>9</v>
      </c>
    </row>
    <row r="298" spans="2:42">
      <c r="B298" s="24">
        <v>284</v>
      </c>
      <c r="C298" s="24" t="str">
        <f t="shared" si="26"/>
        <v/>
      </c>
      <c r="D298" s="24" t="str">
        <f>IF(ISERROR(VLOOKUP(C298,Settings!A:B,2,FALSE)),C298,VLOOKUP(C298,Settings!A:B,2,FALSE))</f>
        <v/>
      </c>
      <c r="E298" s="30" t="str">
        <f t="shared" si="28"/>
        <v>H</v>
      </c>
      <c r="F298" s="24" t="str">
        <f t="shared" si="29"/>
        <v/>
      </c>
      <c r="G298" s="24" t="str">
        <f>IF(ISNA(VLOOKUP(F298,Settings!G:H,2,FALSE)),"",VLOOKUP(F298,Settings!G:H,2,FALSE))</f>
        <v/>
      </c>
      <c r="H298" s="25"/>
      <c r="AL298" s="29">
        <f t="shared" si="27"/>
        <v>4</v>
      </c>
      <c r="AM298" s="29"/>
      <c r="AN298" s="29" t="str">
        <f>IF(ISNA(VLOOKUP(AM298,Settings!G:H,2,FALSE)),"",VLOOKUP(AM298,Settings!G:H,2,FALSE))</f>
        <v/>
      </c>
      <c r="AO298" s="30" t="str">
        <f t="shared" si="30"/>
        <v xml:space="preserve">O                                                        </v>
      </c>
      <c r="AP298" s="29" t="s">
        <v>9</v>
      </c>
    </row>
    <row r="299" spans="2:42">
      <c r="B299" s="24">
        <v>285</v>
      </c>
      <c r="C299" s="24" t="str">
        <f t="shared" si="26"/>
        <v/>
      </c>
      <c r="D299" s="24" t="str">
        <f>IF(ISERROR(VLOOKUP(C299,Settings!A:B,2,FALSE)),C299,VLOOKUP(C299,Settings!A:B,2,FALSE))</f>
        <v/>
      </c>
      <c r="E299" s="30" t="str">
        <f t="shared" si="28"/>
        <v>H</v>
      </c>
      <c r="F299" s="24" t="str">
        <f t="shared" si="29"/>
        <v/>
      </c>
      <c r="G299" s="24" t="str">
        <f>IF(ISNA(VLOOKUP(F299,Settings!G:H,2,FALSE)),"",VLOOKUP(F299,Settings!G:H,2,FALSE))</f>
        <v/>
      </c>
      <c r="H299" s="25"/>
      <c r="AL299" s="29">
        <f t="shared" si="27"/>
        <v>5</v>
      </c>
      <c r="AM299" s="29"/>
      <c r="AN299" s="29" t="str">
        <f>IF(ISNA(VLOOKUP(AM299,Settings!G:H,2,FALSE)),"",VLOOKUP(AM299,Settings!G:H,2,FALSE))</f>
        <v/>
      </c>
      <c r="AO299" s="30" t="str">
        <f t="shared" si="30"/>
        <v xml:space="preserve">O                                                        </v>
      </c>
      <c r="AP299" s="29" t="s">
        <v>9</v>
      </c>
    </row>
    <row r="300" spans="2:42">
      <c r="B300" s="24">
        <v>286</v>
      </c>
      <c r="C300" s="24" t="str">
        <f t="shared" si="26"/>
        <v/>
      </c>
      <c r="D300" s="24" t="str">
        <f>IF(ISERROR(VLOOKUP(C300,Settings!A:B,2,FALSE)),C300,VLOOKUP(C300,Settings!A:B,2,FALSE))</f>
        <v/>
      </c>
      <c r="E300" s="30" t="str">
        <f t="shared" si="28"/>
        <v>H</v>
      </c>
      <c r="F300" s="24" t="str">
        <f t="shared" si="29"/>
        <v/>
      </c>
      <c r="G300" s="24" t="str">
        <f>IF(ISNA(VLOOKUP(F300,Settings!G:H,2,FALSE)),"",VLOOKUP(F300,Settings!G:H,2,FALSE))</f>
        <v/>
      </c>
      <c r="H300" s="25"/>
      <c r="AL300" s="29">
        <f t="shared" si="27"/>
        <v>1</v>
      </c>
      <c r="AM300" s="29"/>
      <c r="AN300" s="29" t="str">
        <f>IF(ISNA(VLOOKUP(AM300,Settings!G:H,2,FALSE)),"",VLOOKUP(AM300,Settings!G:H,2,FALSE))</f>
        <v/>
      </c>
      <c r="AO300" s="30" t="str">
        <f t="shared" si="30"/>
        <v xml:space="preserve">O                                                         </v>
      </c>
      <c r="AP300" s="29" t="s">
        <v>9</v>
      </c>
    </row>
    <row r="301" spans="2:42">
      <c r="B301" s="24">
        <v>287</v>
      </c>
      <c r="C301" s="24" t="str">
        <f t="shared" si="26"/>
        <v/>
      </c>
      <c r="D301" s="24" t="str">
        <f>IF(ISERROR(VLOOKUP(C301,Settings!A:B,2,FALSE)),C301,VLOOKUP(C301,Settings!A:B,2,FALSE))</f>
        <v/>
      </c>
      <c r="E301" s="30" t="str">
        <f t="shared" si="28"/>
        <v>H</v>
      </c>
      <c r="F301" s="24" t="str">
        <f t="shared" si="29"/>
        <v/>
      </c>
      <c r="G301" s="24" t="str">
        <f>IF(ISNA(VLOOKUP(F301,Settings!G:H,2,FALSE)),"",VLOOKUP(F301,Settings!G:H,2,FALSE))</f>
        <v/>
      </c>
      <c r="H301" s="25"/>
      <c r="AL301" s="29">
        <f t="shared" si="27"/>
        <v>2</v>
      </c>
      <c r="AM301" s="29"/>
      <c r="AN301" s="29" t="str">
        <f>IF(ISNA(VLOOKUP(AM301,Settings!G:H,2,FALSE)),"",VLOOKUP(AM301,Settings!G:H,2,FALSE))</f>
        <v/>
      </c>
      <c r="AO301" s="30" t="str">
        <f t="shared" si="30"/>
        <v xml:space="preserve">O                                                         </v>
      </c>
      <c r="AP301" s="29" t="s">
        <v>9</v>
      </c>
    </row>
    <row r="302" spans="2:42">
      <c r="B302" s="24">
        <v>288</v>
      </c>
      <c r="C302" s="24" t="str">
        <f t="shared" si="26"/>
        <v/>
      </c>
      <c r="D302" s="24" t="str">
        <f>IF(ISERROR(VLOOKUP(C302,Settings!A:B,2,FALSE)),C302,VLOOKUP(C302,Settings!A:B,2,FALSE))</f>
        <v/>
      </c>
      <c r="E302" s="30" t="str">
        <f t="shared" si="28"/>
        <v>H</v>
      </c>
      <c r="F302" s="24" t="str">
        <f t="shared" si="29"/>
        <v/>
      </c>
      <c r="G302" s="24" t="str">
        <f>IF(ISNA(VLOOKUP(F302,Settings!G:H,2,FALSE)),"",VLOOKUP(F302,Settings!G:H,2,FALSE))</f>
        <v/>
      </c>
      <c r="H302" s="25"/>
      <c r="AL302" s="29">
        <f t="shared" si="27"/>
        <v>3</v>
      </c>
      <c r="AM302" s="29"/>
      <c r="AN302" s="29" t="str">
        <f>IF(ISNA(VLOOKUP(AM302,Settings!G:H,2,FALSE)),"",VLOOKUP(AM302,Settings!G:H,2,FALSE))</f>
        <v/>
      </c>
      <c r="AO302" s="30" t="str">
        <f t="shared" si="30"/>
        <v xml:space="preserve">O                                                         </v>
      </c>
      <c r="AP302" s="29" t="s">
        <v>9</v>
      </c>
    </row>
    <row r="303" spans="2:42">
      <c r="B303" s="24">
        <v>289</v>
      </c>
      <c r="C303" s="24" t="str">
        <f t="shared" si="26"/>
        <v/>
      </c>
      <c r="D303" s="24" t="str">
        <f>IF(ISERROR(VLOOKUP(C303,Settings!A:B,2,FALSE)),C303,VLOOKUP(C303,Settings!A:B,2,FALSE))</f>
        <v/>
      </c>
      <c r="E303" s="30" t="str">
        <f t="shared" si="28"/>
        <v>H</v>
      </c>
      <c r="F303" s="24" t="str">
        <f t="shared" si="29"/>
        <v/>
      </c>
      <c r="G303" s="24" t="str">
        <f>IF(ISNA(VLOOKUP(F303,Settings!G:H,2,FALSE)),"",VLOOKUP(F303,Settings!G:H,2,FALSE))</f>
        <v/>
      </c>
      <c r="H303" s="25"/>
      <c r="AL303" s="29">
        <f t="shared" si="27"/>
        <v>4</v>
      </c>
      <c r="AM303" s="29"/>
      <c r="AN303" s="29" t="str">
        <f>IF(ISNA(VLOOKUP(AM303,Settings!G:H,2,FALSE)),"",VLOOKUP(AM303,Settings!G:H,2,FALSE))</f>
        <v/>
      </c>
      <c r="AO303" s="30" t="str">
        <f t="shared" si="30"/>
        <v xml:space="preserve">O                                                         </v>
      </c>
      <c r="AP303" s="29" t="s">
        <v>9</v>
      </c>
    </row>
    <row r="304" spans="2:42">
      <c r="B304" s="24">
        <v>290</v>
      </c>
      <c r="C304" s="24" t="str">
        <f t="shared" si="26"/>
        <v/>
      </c>
      <c r="D304" s="24" t="str">
        <f>IF(ISERROR(VLOOKUP(C304,Settings!A:B,2,FALSE)),C304,VLOOKUP(C304,Settings!A:B,2,FALSE))</f>
        <v/>
      </c>
      <c r="E304" s="30" t="str">
        <f t="shared" si="28"/>
        <v>H</v>
      </c>
      <c r="F304" s="24" t="str">
        <f t="shared" si="29"/>
        <v/>
      </c>
      <c r="G304" s="24" t="str">
        <f>IF(ISNA(VLOOKUP(F304,Settings!G:H,2,FALSE)),"",VLOOKUP(F304,Settings!G:H,2,FALSE))</f>
        <v/>
      </c>
      <c r="H304" s="25"/>
      <c r="AL304" s="29">
        <f t="shared" si="27"/>
        <v>5</v>
      </c>
      <c r="AM304" s="29"/>
      <c r="AN304" s="29" t="str">
        <f>IF(ISNA(VLOOKUP(AM304,Settings!G:H,2,FALSE)),"",VLOOKUP(AM304,Settings!G:H,2,FALSE))</f>
        <v/>
      </c>
      <c r="AO304" s="30" t="str">
        <f t="shared" si="30"/>
        <v xml:space="preserve">O                                                         </v>
      </c>
      <c r="AP304" s="29" t="s">
        <v>9</v>
      </c>
    </row>
    <row r="305" spans="2:42">
      <c r="B305" s="24">
        <v>291</v>
      </c>
      <c r="C305" s="24" t="str">
        <f t="shared" si="26"/>
        <v/>
      </c>
      <c r="D305" s="24" t="str">
        <f>IF(ISERROR(VLOOKUP(C305,Settings!A:B,2,FALSE)),C305,VLOOKUP(C305,Settings!A:B,2,FALSE))</f>
        <v/>
      </c>
      <c r="E305" s="30" t="str">
        <f t="shared" si="28"/>
        <v>H</v>
      </c>
      <c r="F305" s="24" t="str">
        <f t="shared" si="29"/>
        <v/>
      </c>
      <c r="G305" s="24" t="str">
        <f>IF(ISNA(VLOOKUP(F305,Settings!G:H,2,FALSE)),"",VLOOKUP(F305,Settings!G:H,2,FALSE))</f>
        <v/>
      </c>
      <c r="H305" s="25"/>
      <c r="AL305" s="29">
        <f t="shared" si="27"/>
        <v>1</v>
      </c>
      <c r="AM305" s="29"/>
      <c r="AN305" s="29" t="str">
        <f>IF(ISNA(VLOOKUP(AM305,Settings!G:H,2,FALSE)),"",VLOOKUP(AM305,Settings!G:H,2,FALSE))</f>
        <v/>
      </c>
      <c r="AO305" s="30" t="str">
        <f t="shared" si="30"/>
        <v xml:space="preserve">O                                                          </v>
      </c>
      <c r="AP305" s="29" t="s">
        <v>9</v>
      </c>
    </row>
    <row r="306" spans="2:42">
      <c r="B306" s="24">
        <v>292</v>
      </c>
      <c r="C306" s="24" t="str">
        <f t="shared" si="26"/>
        <v/>
      </c>
      <c r="D306" s="24" t="str">
        <f>IF(ISERROR(VLOOKUP(C306,Settings!A:B,2,FALSE)),C306,VLOOKUP(C306,Settings!A:B,2,FALSE))</f>
        <v/>
      </c>
      <c r="E306" s="30" t="str">
        <f t="shared" si="28"/>
        <v>H</v>
      </c>
      <c r="F306" s="24" t="str">
        <f t="shared" si="29"/>
        <v/>
      </c>
      <c r="G306" s="24" t="str">
        <f>IF(ISNA(VLOOKUP(F306,Settings!G:H,2,FALSE)),"",VLOOKUP(F306,Settings!G:H,2,FALSE))</f>
        <v/>
      </c>
      <c r="H306" s="25"/>
      <c r="AL306" s="29">
        <f t="shared" si="27"/>
        <v>2</v>
      </c>
      <c r="AM306" s="29"/>
      <c r="AN306" s="29" t="str">
        <f>IF(ISNA(VLOOKUP(AM306,Settings!G:H,2,FALSE)),"",VLOOKUP(AM306,Settings!G:H,2,FALSE))</f>
        <v/>
      </c>
      <c r="AO306" s="30" t="str">
        <f t="shared" si="30"/>
        <v xml:space="preserve">O                                                          </v>
      </c>
      <c r="AP306" s="29" t="s">
        <v>9</v>
      </c>
    </row>
    <row r="307" spans="2:42">
      <c r="B307" s="24">
        <v>293</v>
      </c>
      <c r="C307" s="24" t="str">
        <f t="shared" si="26"/>
        <v/>
      </c>
      <c r="D307" s="24" t="str">
        <f>IF(ISERROR(VLOOKUP(C307,Settings!A:B,2,FALSE)),C307,VLOOKUP(C307,Settings!A:B,2,FALSE))</f>
        <v/>
      </c>
      <c r="E307" s="30" t="str">
        <f t="shared" si="28"/>
        <v>H</v>
      </c>
      <c r="F307" s="24" t="str">
        <f t="shared" si="29"/>
        <v/>
      </c>
      <c r="G307" s="24" t="str">
        <f>IF(ISNA(VLOOKUP(F307,Settings!G:H,2,FALSE)),"",VLOOKUP(F307,Settings!G:H,2,FALSE))</f>
        <v/>
      </c>
      <c r="H307" s="25"/>
      <c r="AL307" s="29">
        <f t="shared" si="27"/>
        <v>3</v>
      </c>
      <c r="AM307" s="29"/>
      <c r="AN307" s="29" t="str">
        <f>IF(ISNA(VLOOKUP(AM307,Settings!G:H,2,FALSE)),"",VLOOKUP(AM307,Settings!G:H,2,FALSE))</f>
        <v/>
      </c>
      <c r="AO307" s="30" t="str">
        <f t="shared" si="30"/>
        <v xml:space="preserve">O                                                          </v>
      </c>
      <c r="AP307" s="29" t="s">
        <v>9</v>
      </c>
    </row>
    <row r="308" spans="2:42">
      <c r="B308" s="24">
        <v>294</v>
      </c>
      <c r="C308" s="24" t="str">
        <f t="shared" si="26"/>
        <v/>
      </c>
      <c r="D308" s="24" t="str">
        <f>IF(ISERROR(VLOOKUP(C308,Settings!A:B,2,FALSE)),C308,VLOOKUP(C308,Settings!A:B,2,FALSE))</f>
        <v/>
      </c>
      <c r="E308" s="30" t="str">
        <f t="shared" si="28"/>
        <v>H</v>
      </c>
      <c r="F308" s="24" t="str">
        <f t="shared" si="29"/>
        <v/>
      </c>
      <c r="G308" s="24" t="str">
        <f>IF(ISNA(VLOOKUP(F308,Settings!G:H,2,FALSE)),"",VLOOKUP(F308,Settings!G:H,2,FALSE))</f>
        <v/>
      </c>
      <c r="H308" s="25"/>
      <c r="AL308" s="29">
        <f t="shared" si="27"/>
        <v>4</v>
      </c>
      <c r="AM308" s="29"/>
      <c r="AN308" s="29" t="str">
        <f>IF(ISNA(VLOOKUP(AM308,Settings!G:H,2,FALSE)),"",VLOOKUP(AM308,Settings!G:H,2,FALSE))</f>
        <v/>
      </c>
      <c r="AO308" s="30" t="str">
        <f t="shared" si="30"/>
        <v xml:space="preserve">O                                                          </v>
      </c>
      <c r="AP308" s="29" t="s">
        <v>9</v>
      </c>
    </row>
    <row r="309" spans="2:42">
      <c r="B309" s="24">
        <v>295</v>
      </c>
      <c r="C309" s="24" t="str">
        <f t="shared" si="26"/>
        <v/>
      </c>
      <c r="D309" s="24" t="str">
        <f>IF(ISERROR(VLOOKUP(C309,Settings!A:B,2,FALSE)),C309,VLOOKUP(C309,Settings!A:B,2,FALSE))</f>
        <v/>
      </c>
      <c r="E309" s="30" t="str">
        <f t="shared" si="28"/>
        <v>H</v>
      </c>
      <c r="F309" s="24" t="str">
        <f t="shared" si="29"/>
        <v/>
      </c>
      <c r="G309" s="24" t="str">
        <f>IF(ISNA(VLOOKUP(F309,Settings!G:H,2,FALSE)),"",VLOOKUP(F309,Settings!G:H,2,FALSE))</f>
        <v/>
      </c>
      <c r="H309" s="25"/>
      <c r="AL309" s="29">
        <f t="shared" si="27"/>
        <v>5</v>
      </c>
      <c r="AM309" s="29"/>
      <c r="AN309" s="29" t="str">
        <f>IF(ISNA(VLOOKUP(AM309,Settings!G:H,2,FALSE)),"",VLOOKUP(AM309,Settings!G:H,2,FALSE))</f>
        <v/>
      </c>
      <c r="AO309" s="30" t="str">
        <f t="shared" si="30"/>
        <v xml:space="preserve">O                                                          </v>
      </c>
      <c r="AP309" s="29" t="s">
        <v>9</v>
      </c>
    </row>
    <row r="310" spans="2:42">
      <c r="B310" s="24">
        <v>296</v>
      </c>
      <c r="C310" s="24" t="str">
        <f t="shared" si="26"/>
        <v/>
      </c>
      <c r="D310" s="24" t="str">
        <f>IF(ISERROR(VLOOKUP(C310,Settings!A:B,2,FALSE)),C310,VLOOKUP(C310,Settings!A:B,2,FALSE))</f>
        <v/>
      </c>
      <c r="E310" s="30" t="str">
        <f t="shared" si="28"/>
        <v>H</v>
      </c>
      <c r="F310" s="24" t="str">
        <f t="shared" si="29"/>
        <v/>
      </c>
      <c r="G310" s="24" t="str">
        <f>IF(ISNA(VLOOKUP(F310,Settings!G:H,2,FALSE)),"",VLOOKUP(F310,Settings!G:H,2,FALSE))</f>
        <v/>
      </c>
      <c r="H310" s="25"/>
      <c r="AL310" s="29">
        <f t="shared" si="27"/>
        <v>1</v>
      </c>
      <c r="AM310" s="29"/>
      <c r="AN310" s="29" t="str">
        <f>IF(ISNA(VLOOKUP(AM310,Settings!G:H,2,FALSE)),"",VLOOKUP(AM310,Settings!G:H,2,FALSE))</f>
        <v/>
      </c>
      <c r="AO310" s="30" t="str">
        <f t="shared" si="30"/>
        <v xml:space="preserve">O                                                           </v>
      </c>
      <c r="AP310" s="29" t="s">
        <v>9</v>
      </c>
    </row>
    <row r="311" spans="2:42">
      <c r="B311" s="24">
        <v>297</v>
      </c>
      <c r="C311" s="24" t="str">
        <f t="shared" si="26"/>
        <v/>
      </c>
      <c r="D311" s="24" t="str">
        <f>IF(ISERROR(VLOOKUP(C311,Settings!A:B,2,FALSE)),C311,VLOOKUP(C311,Settings!A:B,2,FALSE))</f>
        <v/>
      </c>
      <c r="E311" s="30" t="str">
        <f t="shared" si="28"/>
        <v>H</v>
      </c>
      <c r="F311" s="24" t="str">
        <f t="shared" si="29"/>
        <v/>
      </c>
      <c r="G311" s="24" t="str">
        <f>IF(ISNA(VLOOKUP(F311,Settings!G:H,2,FALSE)),"",VLOOKUP(F311,Settings!G:H,2,FALSE))</f>
        <v/>
      </c>
      <c r="H311" s="25"/>
      <c r="AL311" s="29">
        <f t="shared" si="27"/>
        <v>2</v>
      </c>
      <c r="AM311" s="29"/>
      <c r="AN311" s="29" t="str">
        <f>IF(ISNA(VLOOKUP(AM311,Settings!G:H,2,FALSE)),"",VLOOKUP(AM311,Settings!G:H,2,FALSE))</f>
        <v/>
      </c>
      <c r="AO311" s="30" t="str">
        <f t="shared" si="30"/>
        <v xml:space="preserve">O                                                           </v>
      </c>
      <c r="AP311" s="29" t="s">
        <v>9</v>
      </c>
    </row>
    <row r="312" spans="2:42">
      <c r="B312" s="24">
        <v>298</v>
      </c>
      <c r="C312" s="24" t="str">
        <f t="shared" si="26"/>
        <v/>
      </c>
      <c r="D312" s="24" t="str">
        <f>IF(ISERROR(VLOOKUP(C312,Settings!A:B,2,FALSE)),C312,VLOOKUP(C312,Settings!A:B,2,FALSE))</f>
        <v/>
      </c>
      <c r="E312" s="30" t="str">
        <f t="shared" si="28"/>
        <v>H</v>
      </c>
      <c r="F312" s="24" t="str">
        <f t="shared" si="29"/>
        <v/>
      </c>
      <c r="G312" s="24" t="str">
        <f>IF(ISNA(VLOOKUP(F312,Settings!G:H,2,FALSE)),"",VLOOKUP(F312,Settings!G:H,2,FALSE))</f>
        <v/>
      </c>
      <c r="H312" s="25"/>
      <c r="AL312" s="29">
        <f t="shared" si="27"/>
        <v>3</v>
      </c>
      <c r="AM312" s="29"/>
      <c r="AN312" s="29" t="str">
        <f>IF(ISNA(VLOOKUP(AM312,Settings!G:H,2,FALSE)),"",VLOOKUP(AM312,Settings!G:H,2,FALSE))</f>
        <v/>
      </c>
      <c r="AO312" s="30" t="str">
        <f t="shared" si="30"/>
        <v xml:space="preserve">O                                                           </v>
      </c>
      <c r="AP312" s="29" t="s">
        <v>9</v>
      </c>
    </row>
    <row r="313" spans="2:42">
      <c r="B313" s="24">
        <v>299</v>
      </c>
      <c r="C313" s="24" t="str">
        <f t="shared" si="26"/>
        <v/>
      </c>
      <c r="D313" s="24" t="str">
        <f>IF(ISERROR(VLOOKUP(C313,Settings!A:B,2,FALSE)),C313,VLOOKUP(C313,Settings!A:B,2,FALSE))</f>
        <v/>
      </c>
      <c r="E313" s="30" t="str">
        <f t="shared" si="28"/>
        <v>H</v>
      </c>
      <c r="F313" s="24" t="str">
        <f t="shared" si="29"/>
        <v/>
      </c>
      <c r="G313" s="24" t="str">
        <f>IF(ISNA(VLOOKUP(F313,Settings!G:H,2,FALSE)),"",VLOOKUP(F313,Settings!G:H,2,FALSE))</f>
        <v/>
      </c>
      <c r="H313" s="25"/>
      <c r="AL313" s="29">
        <f t="shared" si="27"/>
        <v>4</v>
      </c>
      <c r="AM313" s="29"/>
      <c r="AN313" s="29" t="str">
        <f>IF(ISNA(VLOOKUP(AM313,Settings!G:H,2,FALSE)),"",VLOOKUP(AM313,Settings!G:H,2,FALSE))</f>
        <v/>
      </c>
      <c r="AO313" s="30" t="str">
        <f t="shared" si="30"/>
        <v xml:space="preserve">O                                                           </v>
      </c>
      <c r="AP313" s="29" t="s">
        <v>9</v>
      </c>
    </row>
    <row r="314" spans="2:42">
      <c r="B314" s="24">
        <v>300</v>
      </c>
      <c r="C314" s="24" t="str">
        <f t="shared" si="26"/>
        <v/>
      </c>
      <c r="D314" s="24" t="str">
        <f>IF(ISERROR(VLOOKUP(C314,Settings!A:B,2,FALSE)),C314,VLOOKUP(C314,Settings!A:B,2,FALSE))</f>
        <v/>
      </c>
      <c r="E314" s="30" t="str">
        <f t="shared" si="28"/>
        <v>H</v>
      </c>
      <c r="F314" s="24" t="str">
        <f t="shared" si="29"/>
        <v/>
      </c>
      <c r="G314" s="24" t="str">
        <f>IF(ISNA(VLOOKUP(F314,Settings!G:H,2,FALSE)),"",VLOOKUP(F314,Settings!G:H,2,FALSE))</f>
        <v/>
      </c>
      <c r="H314" s="25"/>
      <c r="AL314" s="29">
        <f t="shared" si="27"/>
        <v>5</v>
      </c>
      <c r="AM314" s="29"/>
      <c r="AN314" s="29" t="str">
        <f>IF(ISNA(VLOOKUP(AM314,Settings!G:H,2,FALSE)),"",VLOOKUP(AM314,Settings!G:H,2,FALSE))</f>
        <v/>
      </c>
      <c r="AO314" s="30" t="str">
        <f t="shared" si="30"/>
        <v xml:space="preserve">O                                                           </v>
      </c>
      <c r="AP314" s="29" t="s">
        <v>9</v>
      </c>
    </row>
    <row r="315" spans="2:42">
      <c r="B315" s="24">
        <v>301</v>
      </c>
      <c r="C315" s="24" t="str">
        <f t="shared" si="26"/>
        <v/>
      </c>
      <c r="D315" s="24" t="str">
        <f>IF(ISERROR(VLOOKUP(C315,Settings!A:B,2,FALSE)),C315,VLOOKUP(C315,Settings!A:B,2,FALSE))</f>
        <v/>
      </c>
      <c r="E315" s="30" t="str">
        <f t="shared" si="28"/>
        <v>H</v>
      </c>
      <c r="F315" s="24" t="str">
        <f t="shared" si="29"/>
        <v/>
      </c>
      <c r="G315" s="24" t="str">
        <f>IF(ISNA(VLOOKUP(F315,Settings!G:H,2,FALSE)),"",VLOOKUP(F315,Settings!G:H,2,FALSE))</f>
        <v/>
      </c>
      <c r="H315" s="25"/>
      <c r="AL315" s="29">
        <f t="shared" si="27"/>
        <v>1</v>
      </c>
      <c r="AM315" s="29"/>
      <c r="AN315" s="29" t="str">
        <f>IF(ISNA(VLOOKUP(AM315,Settings!G:H,2,FALSE)),"",VLOOKUP(AM315,Settings!G:H,2,FALSE))</f>
        <v/>
      </c>
      <c r="AO315" s="30" t="str">
        <f t="shared" si="30"/>
        <v xml:space="preserve">O                                                            </v>
      </c>
      <c r="AP315" s="29" t="s">
        <v>9</v>
      </c>
    </row>
    <row r="316" spans="2:42">
      <c r="B316" s="24">
        <v>302</v>
      </c>
      <c r="C316" s="24" t="str">
        <f t="shared" si="26"/>
        <v/>
      </c>
      <c r="D316" s="24" t="str">
        <f>IF(ISERROR(VLOOKUP(C316,Settings!A:B,2,FALSE)),C316,VLOOKUP(C316,Settings!A:B,2,FALSE))</f>
        <v/>
      </c>
      <c r="E316" s="30" t="str">
        <f t="shared" si="28"/>
        <v>H</v>
      </c>
      <c r="F316" s="24" t="str">
        <f t="shared" si="29"/>
        <v/>
      </c>
      <c r="G316" s="24" t="str">
        <f>IF(ISNA(VLOOKUP(F316,Settings!G:H,2,FALSE)),"",VLOOKUP(F316,Settings!G:H,2,FALSE))</f>
        <v/>
      </c>
      <c r="H316" s="25"/>
      <c r="AL316" s="29">
        <f t="shared" si="27"/>
        <v>2</v>
      </c>
      <c r="AM316" s="29"/>
      <c r="AN316" s="29" t="str">
        <f>IF(ISNA(VLOOKUP(AM316,Settings!G:H,2,FALSE)),"",VLOOKUP(AM316,Settings!G:H,2,FALSE))</f>
        <v/>
      </c>
      <c r="AO316" s="30" t="str">
        <f t="shared" si="30"/>
        <v xml:space="preserve">O                                                            </v>
      </c>
      <c r="AP316" s="29" t="s">
        <v>9</v>
      </c>
    </row>
    <row r="317" spans="2:42">
      <c r="B317" s="24">
        <v>303</v>
      </c>
      <c r="C317" s="24" t="str">
        <f t="shared" si="26"/>
        <v/>
      </c>
      <c r="D317" s="24" t="str">
        <f>IF(ISERROR(VLOOKUP(C317,Settings!A:B,2,FALSE)),C317,VLOOKUP(C317,Settings!A:B,2,FALSE))</f>
        <v/>
      </c>
      <c r="E317" s="30" t="str">
        <f t="shared" si="28"/>
        <v>H</v>
      </c>
      <c r="F317" s="24" t="str">
        <f t="shared" si="29"/>
        <v/>
      </c>
      <c r="G317" s="24" t="str">
        <f>IF(ISNA(VLOOKUP(F317,Settings!G:H,2,FALSE)),"",VLOOKUP(F317,Settings!G:H,2,FALSE))</f>
        <v/>
      </c>
      <c r="H317" s="25"/>
      <c r="AL317" s="29">
        <f t="shared" si="27"/>
        <v>3</v>
      </c>
      <c r="AM317" s="29"/>
      <c r="AN317" s="29" t="str">
        <f>IF(ISNA(VLOOKUP(AM317,Settings!G:H,2,FALSE)),"",VLOOKUP(AM317,Settings!G:H,2,FALSE))</f>
        <v/>
      </c>
      <c r="AO317" s="30" t="str">
        <f t="shared" si="30"/>
        <v xml:space="preserve">O                                                            </v>
      </c>
      <c r="AP317" s="29" t="s">
        <v>9</v>
      </c>
    </row>
    <row r="318" spans="2:42">
      <c r="B318" s="24">
        <v>304</v>
      </c>
      <c r="C318" s="24" t="str">
        <f t="shared" si="26"/>
        <v/>
      </c>
      <c r="D318" s="24" t="str">
        <f>IF(ISERROR(VLOOKUP(C318,Settings!A:B,2,FALSE)),C318,VLOOKUP(C318,Settings!A:B,2,FALSE))</f>
        <v/>
      </c>
      <c r="E318" s="30" t="str">
        <f t="shared" si="28"/>
        <v>H</v>
      </c>
      <c r="F318" s="24" t="str">
        <f t="shared" si="29"/>
        <v/>
      </c>
      <c r="G318" s="24" t="str">
        <f>IF(ISNA(VLOOKUP(F318,Settings!G:H,2,FALSE)),"",VLOOKUP(F318,Settings!G:H,2,FALSE))</f>
        <v/>
      </c>
      <c r="H318" s="25"/>
      <c r="AL318" s="29">
        <f t="shared" si="27"/>
        <v>4</v>
      </c>
      <c r="AM318" s="29"/>
      <c r="AN318" s="29" t="str">
        <f>IF(ISNA(VLOOKUP(AM318,Settings!G:H,2,FALSE)),"",VLOOKUP(AM318,Settings!G:H,2,FALSE))</f>
        <v/>
      </c>
      <c r="AO318" s="30" t="str">
        <f t="shared" si="30"/>
        <v xml:space="preserve">O                                                            </v>
      </c>
      <c r="AP318" s="29" t="s">
        <v>9</v>
      </c>
    </row>
    <row r="319" spans="2:42">
      <c r="B319" s="24">
        <v>305</v>
      </c>
      <c r="C319" s="24" t="str">
        <f t="shared" si="26"/>
        <v/>
      </c>
      <c r="D319" s="24" t="str">
        <f>IF(ISERROR(VLOOKUP(C319,Settings!A:B,2,FALSE)),C319,VLOOKUP(C319,Settings!A:B,2,FALSE))</f>
        <v/>
      </c>
      <c r="E319" s="30" t="str">
        <f t="shared" si="28"/>
        <v>H</v>
      </c>
      <c r="F319" s="24" t="str">
        <f t="shared" si="29"/>
        <v/>
      </c>
      <c r="G319" s="24" t="str">
        <f>IF(ISNA(VLOOKUP(F319,Settings!G:H,2,FALSE)),"",VLOOKUP(F319,Settings!G:H,2,FALSE))</f>
        <v/>
      </c>
      <c r="H319" s="25"/>
      <c r="AL319" s="29">
        <f t="shared" si="27"/>
        <v>5</v>
      </c>
      <c r="AM319" s="29"/>
      <c r="AN319" s="29" t="str">
        <f>IF(ISNA(VLOOKUP(AM319,Settings!G:H,2,FALSE)),"",VLOOKUP(AM319,Settings!G:H,2,FALSE))</f>
        <v/>
      </c>
      <c r="AO319" s="30" t="str">
        <f t="shared" si="30"/>
        <v xml:space="preserve">O                                                            </v>
      </c>
      <c r="AP319" s="29" t="s">
        <v>9</v>
      </c>
    </row>
    <row r="320" spans="2:42">
      <c r="B320" s="24">
        <v>306</v>
      </c>
      <c r="C320" s="24" t="str">
        <f t="shared" si="26"/>
        <v/>
      </c>
      <c r="D320" s="24" t="str">
        <f>IF(ISERROR(VLOOKUP(C320,Settings!A:B,2,FALSE)),C320,VLOOKUP(C320,Settings!A:B,2,FALSE))</f>
        <v/>
      </c>
      <c r="E320" s="30" t="str">
        <f t="shared" si="28"/>
        <v>H</v>
      </c>
      <c r="F320" s="24" t="str">
        <f t="shared" si="29"/>
        <v/>
      </c>
      <c r="G320" s="24" t="str">
        <f>IF(ISNA(VLOOKUP(F320,Settings!G:H,2,FALSE)),"",VLOOKUP(F320,Settings!G:H,2,FALSE))</f>
        <v/>
      </c>
      <c r="H320" s="25"/>
      <c r="AL320" s="29">
        <f t="shared" si="27"/>
        <v>1</v>
      </c>
      <c r="AM320" s="29"/>
      <c r="AN320" s="29" t="str">
        <f>IF(ISNA(VLOOKUP(AM320,Settings!G:H,2,FALSE)),"",VLOOKUP(AM320,Settings!G:H,2,FALSE))</f>
        <v/>
      </c>
      <c r="AO320" s="30" t="str">
        <f t="shared" si="30"/>
        <v xml:space="preserve">O                                                             </v>
      </c>
      <c r="AP320" s="29" t="s">
        <v>9</v>
      </c>
    </row>
    <row r="321" spans="2:42">
      <c r="B321" s="24">
        <v>307</v>
      </c>
      <c r="C321" s="24" t="str">
        <f t="shared" si="26"/>
        <v/>
      </c>
      <c r="D321" s="24" t="str">
        <f>IF(ISERROR(VLOOKUP(C321,Settings!A:B,2,FALSE)),C321,VLOOKUP(C321,Settings!A:B,2,FALSE))</f>
        <v/>
      </c>
      <c r="E321" s="30" t="str">
        <f t="shared" si="28"/>
        <v>H</v>
      </c>
      <c r="F321" s="24" t="str">
        <f t="shared" si="29"/>
        <v/>
      </c>
      <c r="G321" s="24" t="str">
        <f>IF(ISNA(VLOOKUP(F321,Settings!G:H,2,FALSE)),"",VLOOKUP(F321,Settings!G:H,2,FALSE))</f>
        <v/>
      </c>
      <c r="H321" s="25"/>
      <c r="AL321" s="29">
        <f t="shared" si="27"/>
        <v>2</v>
      </c>
      <c r="AM321" s="29"/>
      <c r="AN321" s="29" t="str">
        <f>IF(ISNA(VLOOKUP(AM321,Settings!G:H,2,FALSE)),"",VLOOKUP(AM321,Settings!G:H,2,FALSE))</f>
        <v/>
      </c>
      <c r="AO321" s="30" t="str">
        <f t="shared" si="30"/>
        <v xml:space="preserve">O                                                             </v>
      </c>
      <c r="AP321" s="29" t="s">
        <v>9</v>
      </c>
    </row>
    <row r="322" spans="2:42">
      <c r="B322" s="24">
        <v>308</v>
      </c>
      <c r="C322" s="24" t="str">
        <f t="shared" si="26"/>
        <v/>
      </c>
      <c r="D322" s="24" t="str">
        <f>IF(ISERROR(VLOOKUP(C322,Settings!A:B,2,FALSE)),C322,VLOOKUP(C322,Settings!A:B,2,FALSE))</f>
        <v/>
      </c>
      <c r="E322" s="30" t="str">
        <f t="shared" si="28"/>
        <v>H</v>
      </c>
      <c r="F322" s="24" t="str">
        <f t="shared" si="29"/>
        <v/>
      </c>
      <c r="G322" s="24" t="str">
        <f>IF(ISNA(VLOOKUP(F322,Settings!G:H,2,FALSE)),"",VLOOKUP(F322,Settings!G:H,2,FALSE))</f>
        <v/>
      </c>
      <c r="H322" s="25"/>
      <c r="AL322" s="29">
        <f t="shared" si="27"/>
        <v>3</v>
      </c>
      <c r="AM322" s="29"/>
      <c r="AN322" s="29" t="str">
        <f>IF(ISNA(VLOOKUP(AM322,Settings!G:H,2,FALSE)),"",VLOOKUP(AM322,Settings!G:H,2,FALSE))</f>
        <v/>
      </c>
      <c r="AO322" s="30" t="str">
        <f t="shared" si="30"/>
        <v xml:space="preserve">O                                                             </v>
      </c>
      <c r="AP322" s="29" t="s">
        <v>9</v>
      </c>
    </row>
    <row r="323" spans="2:42">
      <c r="B323" s="24">
        <v>309</v>
      </c>
      <c r="C323" s="24" t="str">
        <f t="shared" si="26"/>
        <v/>
      </c>
      <c r="D323" s="24" t="str">
        <f>IF(ISERROR(VLOOKUP(C323,Settings!A:B,2,FALSE)),C323,VLOOKUP(C323,Settings!A:B,2,FALSE))</f>
        <v/>
      </c>
      <c r="E323" s="30" t="str">
        <f t="shared" si="28"/>
        <v>H</v>
      </c>
      <c r="F323" s="24" t="str">
        <f t="shared" si="29"/>
        <v/>
      </c>
      <c r="G323" s="24" t="str">
        <f>IF(ISNA(VLOOKUP(F323,Settings!G:H,2,FALSE)),"",VLOOKUP(F323,Settings!G:H,2,FALSE))</f>
        <v/>
      </c>
      <c r="H323" s="25"/>
      <c r="AL323" s="29">
        <f t="shared" si="27"/>
        <v>4</v>
      </c>
      <c r="AM323" s="29"/>
      <c r="AN323" s="29" t="str">
        <f>IF(ISNA(VLOOKUP(AM323,Settings!G:H,2,FALSE)),"",VLOOKUP(AM323,Settings!G:H,2,FALSE))</f>
        <v/>
      </c>
      <c r="AO323" s="30" t="str">
        <f t="shared" si="30"/>
        <v xml:space="preserve">O                                                             </v>
      </c>
      <c r="AP323" s="29" t="s">
        <v>9</v>
      </c>
    </row>
    <row r="324" spans="2:42">
      <c r="B324" s="24">
        <v>310</v>
      </c>
      <c r="C324" s="24" t="str">
        <f t="shared" si="26"/>
        <v/>
      </c>
      <c r="D324" s="24" t="str">
        <f>IF(ISERROR(VLOOKUP(C324,Settings!A:B,2,FALSE)),C324,VLOOKUP(C324,Settings!A:B,2,FALSE))</f>
        <v/>
      </c>
      <c r="E324" s="30" t="str">
        <f t="shared" si="28"/>
        <v>H</v>
      </c>
      <c r="F324" s="24" t="str">
        <f t="shared" si="29"/>
        <v/>
      </c>
      <c r="G324" s="24" t="str">
        <f>IF(ISNA(VLOOKUP(F324,Settings!G:H,2,FALSE)),"",VLOOKUP(F324,Settings!G:H,2,FALSE))</f>
        <v/>
      </c>
      <c r="H324" s="25"/>
      <c r="AL324" s="29">
        <f t="shared" si="27"/>
        <v>5</v>
      </c>
      <c r="AM324" s="29"/>
      <c r="AN324" s="29" t="str">
        <f>IF(ISNA(VLOOKUP(AM324,Settings!G:H,2,FALSE)),"",VLOOKUP(AM324,Settings!G:H,2,FALSE))</f>
        <v/>
      </c>
      <c r="AO324" s="30" t="str">
        <f t="shared" si="30"/>
        <v xml:space="preserve">O                                                             </v>
      </c>
      <c r="AP324" s="29" t="s">
        <v>9</v>
      </c>
    </row>
    <row r="325" spans="2:42">
      <c r="B325" s="24">
        <v>311</v>
      </c>
      <c r="C325" s="24" t="str">
        <f t="shared" si="26"/>
        <v/>
      </c>
      <c r="D325" s="24" t="str">
        <f>IF(ISERROR(VLOOKUP(C325,Settings!A:B,2,FALSE)),C325,VLOOKUP(C325,Settings!A:B,2,FALSE))</f>
        <v/>
      </c>
      <c r="E325" s="30" t="str">
        <f t="shared" si="28"/>
        <v>H</v>
      </c>
      <c r="F325" s="24" t="str">
        <f t="shared" si="29"/>
        <v/>
      </c>
      <c r="G325" s="24" t="str">
        <f>IF(ISNA(VLOOKUP(F325,Settings!G:H,2,FALSE)),"",VLOOKUP(F325,Settings!G:H,2,FALSE))</f>
        <v/>
      </c>
      <c r="H325" s="25"/>
      <c r="AL325" s="29">
        <f t="shared" si="27"/>
        <v>1</v>
      </c>
      <c r="AM325" s="29"/>
      <c r="AN325" s="29" t="str">
        <f>IF(ISNA(VLOOKUP(AM325,Settings!G:H,2,FALSE)),"",VLOOKUP(AM325,Settings!G:H,2,FALSE))</f>
        <v/>
      </c>
      <c r="AO325" s="30" t="str">
        <f t="shared" si="30"/>
        <v xml:space="preserve">O                                                              </v>
      </c>
      <c r="AP325" s="29" t="s">
        <v>9</v>
      </c>
    </row>
    <row r="326" spans="2:42">
      <c r="B326" s="24">
        <v>312</v>
      </c>
      <c r="C326" s="24" t="str">
        <f t="shared" si="26"/>
        <v/>
      </c>
      <c r="D326" s="24" t="str">
        <f>IF(ISERROR(VLOOKUP(C326,Settings!A:B,2,FALSE)),C326,VLOOKUP(C326,Settings!A:B,2,FALSE))</f>
        <v/>
      </c>
      <c r="E326" s="30" t="str">
        <f t="shared" si="28"/>
        <v>H</v>
      </c>
      <c r="F326" s="24" t="str">
        <f t="shared" si="29"/>
        <v/>
      </c>
      <c r="G326" s="24" t="str">
        <f>IF(ISNA(VLOOKUP(F326,Settings!G:H,2,FALSE)),"",VLOOKUP(F326,Settings!G:H,2,FALSE))</f>
        <v/>
      </c>
      <c r="H326" s="25"/>
      <c r="AL326" s="29">
        <f t="shared" si="27"/>
        <v>2</v>
      </c>
      <c r="AM326" s="29"/>
      <c r="AN326" s="29" t="str">
        <f>IF(ISNA(VLOOKUP(AM326,Settings!G:H,2,FALSE)),"",VLOOKUP(AM326,Settings!G:H,2,FALSE))</f>
        <v/>
      </c>
      <c r="AO326" s="30" t="str">
        <f t="shared" si="30"/>
        <v xml:space="preserve">O                                                              </v>
      </c>
      <c r="AP326" s="29" t="s">
        <v>9</v>
      </c>
    </row>
    <row r="327" spans="2:42">
      <c r="B327" s="24">
        <v>313</v>
      </c>
      <c r="C327" s="24" t="str">
        <f t="shared" si="26"/>
        <v/>
      </c>
      <c r="D327" s="24" t="str">
        <f>IF(ISERROR(VLOOKUP(C327,Settings!A:B,2,FALSE)),C327,VLOOKUP(C327,Settings!A:B,2,FALSE))</f>
        <v/>
      </c>
      <c r="E327" s="30" t="str">
        <f t="shared" si="28"/>
        <v>H</v>
      </c>
      <c r="F327" s="24" t="str">
        <f t="shared" si="29"/>
        <v/>
      </c>
      <c r="G327" s="24" t="str">
        <f>IF(ISNA(VLOOKUP(F327,Settings!G:H,2,FALSE)),"",VLOOKUP(F327,Settings!G:H,2,FALSE))</f>
        <v/>
      </c>
      <c r="H327" s="25"/>
      <c r="AL327" s="29">
        <f t="shared" si="27"/>
        <v>3</v>
      </c>
      <c r="AM327" s="29"/>
      <c r="AN327" s="29" t="str">
        <f>IF(ISNA(VLOOKUP(AM327,Settings!G:H,2,FALSE)),"",VLOOKUP(AM327,Settings!G:H,2,FALSE))</f>
        <v/>
      </c>
      <c r="AO327" s="30" t="str">
        <f t="shared" si="30"/>
        <v xml:space="preserve">O                                                              </v>
      </c>
      <c r="AP327" s="29" t="s">
        <v>9</v>
      </c>
    </row>
    <row r="328" spans="2:42">
      <c r="B328" s="24">
        <v>314</v>
      </c>
      <c r="C328" s="24" t="str">
        <f t="shared" si="26"/>
        <v/>
      </c>
      <c r="D328" s="24" t="str">
        <f>IF(ISERROR(VLOOKUP(C328,Settings!A:B,2,FALSE)),C328,VLOOKUP(C328,Settings!A:B,2,FALSE))</f>
        <v/>
      </c>
      <c r="E328" s="30" t="str">
        <f t="shared" si="28"/>
        <v>H</v>
      </c>
      <c r="F328" s="24" t="str">
        <f t="shared" si="29"/>
        <v/>
      </c>
      <c r="G328" s="24" t="str">
        <f>IF(ISNA(VLOOKUP(F328,Settings!G:H,2,FALSE)),"",VLOOKUP(F328,Settings!G:H,2,FALSE))</f>
        <v/>
      </c>
      <c r="H328" s="25"/>
      <c r="AL328" s="29">
        <f t="shared" si="27"/>
        <v>4</v>
      </c>
      <c r="AM328" s="29"/>
      <c r="AN328" s="29" t="str">
        <f>IF(ISNA(VLOOKUP(AM328,Settings!G:H,2,FALSE)),"",VLOOKUP(AM328,Settings!G:H,2,FALSE))</f>
        <v/>
      </c>
      <c r="AO328" s="30" t="str">
        <f t="shared" si="30"/>
        <v xml:space="preserve">O                                                              </v>
      </c>
      <c r="AP328" s="29" t="s">
        <v>9</v>
      </c>
    </row>
    <row r="329" spans="2:42">
      <c r="B329" s="24">
        <v>315</v>
      </c>
      <c r="C329" s="24" t="str">
        <f t="shared" si="26"/>
        <v/>
      </c>
      <c r="D329" s="24" t="str">
        <f>IF(ISERROR(VLOOKUP(C329,Settings!A:B,2,FALSE)),C329,VLOOKUP(C329,Settings!A:B,2,FALSE))</f>
        <v/>
      </c>
      <c r="E329" s="30" t="str">
        <f t="shared" si="28"/>
        <v>H</v>
      </c>
      <c r="F329" s="24" t="str">
        <f t="shared" si="29"/>
        <v/>
      </c>
      <c r="G329" s="24" t="str">
        <f>IF(ISNA(VLOOKUP(F329,Settings!G:H,2,FALSE)),"",VLOOKUP(F329,Settings!G:H,2,FALSE))</f>
        <v/>
      </c>
      <c r="H329" s="25"/>
      <c r="AL329" s="29">
        <f t="shared" si="27"/>
        <v>5</v>
      </c>
      <c r="AM329" s="29"/>
      <c r="AN329" s="29" t="str">
        <f>IF(ISNA(VLOOKUP(AM329,Settings!G:H,2,FALSE)),"",VLOOKUP(AM329,Settings!G:H,2,FALSE))</f>
        <v/>
      </c>
      <c r="AO329" s="30" t="str">
        <f t="shared" si="30"/>
        <v xml:space="preserve">O                                                              </v>
      </c>
      <c r="AP329" s="29" t="s">
        <v>9</v>
      </c>
    </row>
    <row r="330" spans="2:42">
      <c r="B330" s="24">
        <v>316</v>
      </c>
      <c r="C330" s="24" t="str">
        <f t="shared" si="26"/>
        <v/>
      </c>
      <c r="D330" s="24" t="str">
        <f>IF(ISERROR(VLOOKUP(C330,Settings!A:B,2,FALSE)),C330,VLOOKUP(C330,Settings!A:B,2,FALSE))</f>
        <v/>
      </c>
      <c r="E330" s="30" t="str">
        <f t="shared" si="28"/>
        <v>H</v>
      </c>
      <c r="F330" s="24" t="str">
        <f t="shared" si="29"/>
        <v/>
      </c>
      <c r="G330" s="24" t="str">
        <f>IF(ISNA(VLOOKUP(F330,Settings!G:H,2,FALSE)),"",VLOOKUP(F330,Settings!G:H,2,FALSE))</f>
        <v/>
      </c>
      <c r="H330" s="25"/>
      <c r="AL330" s="29">
        <f t="shared" si="27"/>
        <v>1</v>
      </c>
      <c r="AM330" s="29"/>
      <c r="AN330" s="29" t="str">
        <f>IF(ISNA(VLOOKUP(AM330,Settings!G:H,2,FALSE)),"",VLOOKUP(AM330,Settings!G:H,2,FALSE))</f>
        <v/>
      </c>
      <c r="AO330" s="30" t="str">
        <f t="shared" si="30"/>
        <v xml:space="preserve">O                                                               </v>
      </c>
      <c r="AP330" s="29" t="s">
        <v>9</v>
      </c>
    </row>
    <row r="331" spans="2:42">
      <c r="B331" s="24">
        <v>317</v>
      </c>
      <c r="C331" s="24" t="str">
        <f t="shared" si="26"/>
        <v/>
      </c>
      <c r="D331" s="24" t="str">
        <f>IF(ISERROR(VLOOKUP(C331,Settings!A:B,2,FALSE)),C331,VLOOKUP(C331,Settings!A:B,2,FALSE))</f>
        <v/>
      </c>
      <c r="E331" s="30" t="str">
        <f t="shared" si="28"/>
        <v>H</v>
      </c>
      <c r="F331" s="24" t="str">
        <f t="shared" si="29"/>
        <v/>
      </c>
      <c r="G331" s="24" t="str">
        <f>IF(ISNA(VLOOKUP(F331,Settings!G:H,2,FALSE)),"",VLOOKUP(F331,Settings!G:H,2,FALSE))</f>
        <v/>
      </c>
      <c r="H331" s="25"/>
      <c r="AL331" s="29">
        <f t="shared" si="27"/>
        <v>2</v>
      </c>
      <c r="AM331" s="29"/>
      <c r="AN331" s="29" t="str">
        <f>IF(ISNA(VLOOKUP(AM331,Settings!G:H,2,FALSE)),"",VLOOKUP(AM331,Settings!G:H,2,FALSE))</f>
        <v/>
      </c>
      <c r="AO331" s="30" t="str">
        <f t="shared" si="30"/>
        <v xml:space="preserve">O                                                               </v>
      </c>
      <c r="AP331" s="29" t="s">
        <v>9</v>
      </c>
    </row>
    <row r="332" spans="2:42">
      <c r="B332" s="24">
        <v>318</v>
      </c>
      <c r="C332" s="24" t="str">
        <f t="shared" si="26"/>
        <v/>
      </c>
      <c r="D332" s="24" t="str">
        <f>IF(ISERROR(VLOOKUP(C332,Settings!A:B,2,FALSE)),C332,VLOOKUP(C332,Settings!A:B,2,FALSE))</f>
        <v/>
      </c>
      <c r="E332" s="30" t="str">
        <f t="shared" si="28"/>
        <v>H</v>
      </c>
      <c r="F332" s="24" t="str">
        <f t="shared" si="29"/>
        <v/>
      </c>
      <c r="G332" s="24" t="str">
        <f>IF(ISNA(VLOOKUP(F332,Settings!G:H,2,FALSE)),"",VLOOKUP(F332,Settings!G:H,2,FALSE))</f>
        <v/>
      </c>
      <c r="H332" s="25"/>
      <c r="AL332" s="29">
        <f t="shared" si="27"/>
        <v>3</v>
      </c>
      <c r="AM332" s="29"/>
      <c r="AN332" s="29" t="str">
        <f>IF(ISNA(VLOOKUP(AM332,Settings!G:H,2,FALSE)),"",VLOOKUP(AM332,Settings!G:H,2,FALSE))</f>
        <v/>
      </c>
      <c r="AO332" s="30" t="str">
        <f t="shared" si="30"/>
        <v xml:space="preserve">O                                                               </v>
      </c>
      <c r="AP332" s="29" t="s">
        <v>9</v>
      </c>
    </row>
    <row r="333" spans="2:42">
      <c r="B333" s="24">
        <v>319</v>
      </c>
      <c r="C333" s="24" t="str">
        <f t="shared" si="26"/>
        <v/>
      </c>
      <c r="D333" s="24" t="str">
        <f>IF(ISERROR(VLOOKUP(C333,Settings!A:B,2,FALSE)),C333,VLOOKUP(C333,Settings!A:B,2,FALSE))</f>
        <v/>
      </c>
      <c r="E333" s="30" t="str">
        <f t="shared" si="28"/>
        <v>H</v>
      </c>
      <c r="F333" s="24" t="str">
        <f t="shared" si="29"/>
        <v/>
      </c>
      <c r="G333" s="24" t="str">
        <f>IF(ISNA(VLOOKUP(F333,Settings!G:H,2,FALSE)),"",VLOOKUP(F333,Settings!G:H,2,FALSE))</f>
        <v/>
      </c>
      <c r="H333" s="25"/>
      <c r="AL333" s="29">
        <f t="shared" si="27"/>
        <v>4</v>
      </c>
      <c r="AM333" s="29"/>
      <c r="AN333" s="29" t="str">
        <f>IF(ISNA(VLOOKUP(AM333,Settings!G:H,2,FALSE)),"",VLOOKUP(AM333,Settings!G:H,2,FALSE))</f>
        <v/>
      </c>
      <c r="AO333" s="30" t="str">
        <f t="shared" si="30"/>
        <v xml:space="preserve">O                                                               </v>
      </c>
      <c r="AP333" s="29" t="s">
        <v>9</v>
      </c>
    </row>
    <row r="334" spans="2:42">
      <c r="B334" s="24">
        <v>320</v>
      </c>
      <c r="C334" s="24" t="str">
        <f t="shared" si="26"/>
        <v/>
      </c>
      <c r="D334" s="24" t="str">
        <f>IF(ISERROR(VLOOKUP(C334,Settings!A:B,2,FALSE)),C334,VLOOKUP(C334,Settings!A:B,2,FALSE))</f>
        <v/>
      </c>
      <c r="E334" s="30" t="str">
        <f t="shared" si="28"/>
        <v>H</v>
      </c>
      <c r="F334" s="24" t="str">
        <f t="shared" si="29"/>
        <v/>
      </c>
      <c r="G334" s="24" t="str">
        <f>IF(ISNA(VLOOKUP(F334,Settings!G:H,2,FALSE)),"",VLOOKUP(F334,Settings!G:H,2,FALSE))</f>
        <v/>
      </c>
      <c r="H334" s="25"/>
      <c r="AL334" s="29">
        <f t="shared" si="27"/>
        <v>5</v>
      </c>
      <c r="AM334" s="29"/>
      <c r="AN334" s="29" t="str">
        <f>IF(ISNA(VLOOKUP(AM334,Settings!G:H,2,FALSE)),"",VLOOKUP(AM334,Settings!G:H,2,FALSE))</f>
        <v/>
      </c>
      <c r="AO334" s="30" t="str">
        <f t="shared" si="30"/>
        <v xml:space="preserve">O                                                               </v>
      </c>
      <c r="AP334" s="29" t="s">
        <v>9</v>
      </c>
    </row>
    <row r="335" spans="2:42">
      <c r="B335" s="24">
        <v>321</v>
      </c>
      <c r="C335" s="24" t="str">
        <f t="shared" si="26"/>
        <v/>
      </c>
      <c r="D335" s="24" t="str">
        <f>IF(ISERROR(VLOOKUP(C335,Settings!A:B,2,FALSE)),C335,VLOOKUP(C335,Settings!A:B,2,FALSE))</f>
        <v/>
      </c>
      <c r="E335" s="30" t="str">
        <f t="shared" si="28"/>
        <v>H</v>
      </c>
      <c r="F335" s="24" t="str">
        <f t="shared" si="29"/>
        <v/>
      </c>
      <c r="G335" s="24" t="str">
        <f>IF(ISNA(VLOOKUP(F335,Settings!G:H,2,FALSE)),"",VLOOKUP(F335,Settings!G:H,2,FALSE))</f>
        <v/>
      </c>
      <c r="H335" s="25"/>
      <c r="AL335" s="29">
        <f t="shared" si="27"/>
        <v>1</v>
      </c>
      <c r="AM335" s="29"/>
      <c r="AN335" s="29" t="str">
        <f>IF(ISNA(VLOOKUP(AM335,Settings!G:H,2,FALSE)),"",VLOOKUP(AM335,Settings!G:H,2,FALSE))</f>
        <v/>
      </c>
      <c r="AO335" s="30" t="str">
        <f t="shared" si="30"/>
        <v xml:space="preserve">O                                                                </v>
      </c>
      <c r="AP335" s="29" t="s">
        <v>9</v>
      </c>
    </row>
    <row r="336" spans="2:42">
      <c r="B336" s="24">
        <v>322</v>
      </c>
      <c r="C336" s="24" t="str">
        <f t="shared" ref="C336:C399" si="31">MID(Inputtext,B336,1)</f>
        <v/>
      </c>
      <c r="D336" s="24" t="str">
        <f>IF(ISERROR(VLOOKUP(C336,Settings!A:B,2,FALSE)),C336,VLOOKUP(C336,Settings!A:B,2,FALSE))</f>
        <v/>
      </c>
      <c r="E336" s="30" t="str">
        <f t="shared" si="28"/>
        <v>H</v>
      </c>
      <c r="F336" s="24" t="str">
        <f t="shared" si="29"/>
        <v/>
      </c>
      <c r="G336" s="24" t="str">
        <f>IF(ISNA(VLOOKUP(F336,Settings!G:H,2,FALSE)),"",VLOOKUP(F336,Settings!G:H,2,FALSE))</f>
        <v/>
      </c>
      <c r="H336" s="25"/>
      <c r="AL336" s="29">
        <f t="shared" ref="AL336:AL399" si="32">IF(AL335=5,1,AL335+1)</f>
        <v>2</v>
      </c>
      <c r="AM336" s="29"/>
      <c r="AN336" s="29" t="str">
        <f>IF(ISNA(VLOOKUP(AM336,Settings!G:H,2,FALSE)),"",VLOOKUP(AM336,Settings!G:H,2,FALSE))</f>
        <v/>
      </c>
      <c r="AO336" s="30" t="str">
        <f t="shared" si="30"/>
        <v xml:space="preserve">O                                                                </v>
      </c>
      <c r="AP336" s="29" t="s">
        <v>9</v>
      </c>
    </row>
    <row r="337" spans="2:42">
      <c r="B337" s="24">
        <v>323</v>
      </c>
      <c r="C337" s="24" t="str">
        <f t="shared" si="31"/>
        <v/>
      </c>
      <c r="D337" s="24" t="str">
        <f>IF(ISERROR(VLOOKUP(C337,Settings!A:B,2,FALSE)),C337,VLOOKUP(C337,Settings!A:B,2,FALSE))</f>
        <v/>
      </c>
      <c r="E337" s="30" t="str">
        <f t="shared" ref="E337:E400" si="33">E336&amp;UPPER(D337)</f>
        <v>H</v>
      </c>
      <c r="F337" s="24" t="str">
        <f t="shared" ref="F337:F400" si="34">MID($E$514,B337,1)</f>
        <v/>
      </c>
      <c r="G337" s="24" t="str">
        <f>IF(ISNA(VLOOKUP(F337,Settings!G:H,2,FALSE)),"",VLOOKUP(F337,Settings!G:H,2,FALSE))</f>
        <v/>
      </c>
      <c r="H337" s="25"/>
      <c r="AL337" s="29">
        <f t="shared" si="32"/>
        <v>3</v>
      </c>
      <c r="AM337" s="29"/>
      <c r="AN337" s="29" t="str">
        <f>IF(ISNA(VLOOKUP(AM337,Settings!G:H,2,FALSE)),"",VLOOKUP(AM337,Settings!G:H,2,FALSE))</f>
        <v/>
      </c>
      <c r="AO337" s="30" t="str">
        <f t="shared" ref="AO337:AO400" si="35">IF(AL337=1,AO336&amp;" "&amp;AN337,AO336&amp;AN337)</f>
        <v xml:space="preserve">O                                                                </v>
      </c>
      <c r="AP337" s="29" t="s">
        <v>9</v>
      </c>
    </row>
    <row r="338" spans="2:42">
      <c r="B338" s="24">
        <v>324</v>
      </c>
      <c r="C338" s="24" t="str">
        <f t="shared" si="31"/>
        <v/>
      </c>
      <c r="D338" s="24" t="str">
        <f>IF(ISERROR(VLOOKUP(C338,Settings!A:B,2,FALSE)),C338,VLOOKUP(C338,Settings!A:B,2,FALSE))</f>
        <v/>
      </c>
      <c r="E338" s="30" t="str">
        <f t="shared" si="33"/>
        <v>H</v>
      </c>
      <c r="F338" s="24" t="str">
        <f t="shared" si="34"/>
        <v/>
      </c>
      <c r="G338" s="24" t="str">
        <f>IF(ISNA(VLOOKUP(F338,Settings!G:H,2,FALSE)),"",VLOOKUP(F338,Settings!G:H,2,FALSE))</f>
        <v/>
      </c>
      <c r="H338" s="25"/>
      <c r="AL338" s="29">
        <f t="shared" si="32"/>
        <v>4</v>
      </c>
      <c r="AM338" s="29"/>
      <c r="AN338" s="29" t="str">
        <f>IF(ISNA(VLOOKUP(AM338,Settings!G:H,2,FALSE)),"",VLOOKUP(AM338,Settings!G:H,2,FALSE))</f>
        <v/>
      </c>
      <c r="AO338" s="30" t="str">
        <f t="shared" si="35"/>
        <v xml:space="preserve">O                                                                </v>
      </c>
      <c r="AP338" s="29" t="s">
        <v>9</v>
      </c>
    </row>
    <row r="339" spans="2:42">
      <c r="B339" s="24">
        <v>325</v>
      </c>
      <c r="C339" s="24" t="str">
        <f t="shared" si="31"/>
        <v/>
      </c>
      <c r="D339" s="24" t="str">
        <f>IF(ISERROR(VLOOKUP(C339,Settings!A:B,2,FALSE)),C339,VLOOKUP(C339,Settings!A:B,2,FALSE))</f>
        <v/>
      </c>
      <c r="E339" s="30" t="str">
        <f t="shared" si="33"/>
        <v>H</v>
      </c>
      <c r="F339" s="24" t="str">
        <f t="shared" si="34"/>
        <v/>
      </c>
      <c r="G339" s="24" t="str">
        <f>IF(ISNA(VLOOKUP(F339,Settings!G:H,2,FALSE)),"",VLOOKUP(F339,Settings!G:H,2,FALSE))</f>
        <v/>
      </c>
      <c r="H339" s="25"/>
      <c r="AL339" s="29">
        <f t="shared" si="32"/>
        <v>5</v>
      </c>
      <c r="AM339" s="29"/>
      <c r="AN339" s="29" t="str">
        <f>IF(ISNA(VLOOKUP(AM339,Settings!G:H,2,FALSE)),"",VLOOKUP(AM339,Settings!G:H,2,FALSE))</f>
        <v/>
      </c>
      <c r="AO339" s="30" t="str">
        <f t="shared" si="35"/>
        <v xml:space="preserve">O                                                                </v>
      </c>
      <c r="AP339" s="29" t="s">
        <v>9</v>
      </c>
    </row>
    <row r="340" spans="2:42">
      <c r="B340" s="24">
        <v>326</v>
      </c>
      <c r="C340" s="24" t="str">
        <f t="shared" si="31"/>
        <v/>
      </c>
      <c r="D340" s="24" t="str">
        <f>IF(ISERROR(VLOOKUP(C340,Settings!A:B,2,FALSE)),C340,VLOOKUP(C340,Settings!A:B,2,FALSE))</f>
        <v/>
      </c>
      <c r="E340" s="30" t="str">
        <f t="shared" si="33"/>
        <v>H</v>
      </c>
      <c r="F340" s="24" t="str">
        <f t="shared" si="34"/>
        <v/>
      </c>
      <c r="G340" s="24" t="str">
        <f>IF(ISNA(VLOOKUP(F340,Settings!G:H,2,FALSE)),"",VLOOKUP(F340,Settings!G:H,2,FALSE))</f>
        <v/>
      </c>
      <c r="H340" s="25"/>
      <c r="AL340" s="29">
        <f t="shared" si="32"/>
        <v>1</v>
      </c>
      <c r="AM340" s="29"/>
      <c r="AN340" s="29" t="str">
        <f>IF(ISNA(VLOOKUP(AM340,Settings!G:H,2,FALSE)),"",VLOOKUP(AM340,Settings!G:H,2,FALSE))</f>
        <v/>
      </c>
      <c r="AO340" s="30" t="str">
        <f t="shared" si="35"/>
        <v xml:space="preserve">O                                                                 </v>
      </c>
      <c r="AP340" s="29" t="s">
        <v>9</v>
      </c>
    </row>
    <row r="341" spans="2:42">
      <c r="B341" s="24">
        <v>327</v>
      </c>
      <c r="C341" s="24" t="str">
        <f t="shared" si="31"/>
        <v/>
      </c>
      <c r="D341" s="24" t="str">
        <f>IF(ISERROR(VLOOKUP(C341,Settings!A:B,2,FALSE)),C341,VLOOKUP(C341,Settings!A:B,2,FALSE))</f>
        <v/>
      </c>
      <c r="E341" s="30" t="str">
        <f t="shared" si="33"/>
        <v>H</v>
      </c>
      <c r="F341" s="24" t="str">
        <f t="shared" si="34"/>
        <v/>
      </c>
      <c r="G341" s="24" t="str">
        <f>IF(ISNA(VLOOKUP(F341,Settings!G:H,2,FALSE)),"",VLOOKUP(F341,Settings!G:H,2,FALSE))</f>
        <v/>
      </c>
      <c r="H341" s="25"/>
      <c r="AL341" s="29">
        <f t="shared" si="32"/>
        <v>2</v>
      </c>
      <c r="AM341" s="29"/>
      <c r="AN341" s="29" t="str">
        <f>IF(ISNA(VLOOKUP(AM341,Settings!G:H,2,FALSE)),"",VLOOKUP(AM341,Settings!G:H,2,FALSE))</f>
        <v/>
      </c>
      <c r="AO341" s="30" t="str">
        <f t="shared" si="35"/>
        <v xml:space="preserve">O                                                                 </v>
      </c>
      <c r="AP341" s="29" t="s">
        <v>9</v>
      </c>
    </row>
    <row r="342" spans="2:42">
      <c r="B342" s="24">
        <v>328</v>
      </c>
      <c r="C342" s="24" t="str">
        <f t="shared" si="31"/>
        <v/>
      </c>
      <c r="D342" s="24" t="str">
        <f>IF(ISERROR(VLOOKUP(C342,Settings!A:B,2,FALSE)),C342,VLOOKUP(C342,Settings!A:B,2,FALSE))</f>
        <v/>
      </c>
      <c r="E342" s="30" t="str">
        <f t="shared" si="33"/>
        <v>H</v>
      </c>
      <c r="F342" s="24" t="str">
        <f t="shared" si="34"/>
        <v/>
      </c>
      <c r="G342" s="24" t="str">
        <f>IF(ISNA(VLOOKUP(F342,Settings!G:H,2,FALSE)),"",VLOOKUP(F342,Settings!G:H,2,FALSE))</f>
        <v/>
      </c>
      <c r="H342" s="25"/>
      <c r="AL342" s="29">
        <f t="shared" si="32"/>
        <v>3</v>
      </c>
      <c r="AM342" s="29"/>
      <c r="AN342" s="29" t="str">
        <f>IF(ISNA(VLOOKUP(AM342,Settings!G:H,2,FALSE)),"",VLOOKUP(AM342,Settings!G:H,2,FALSE))</f>
        <v/>
      </c>
      <c r="AO342" s="30" t="str">
        <f t="shared" si="35"/>
        <v xml:space="preserve">O                                                                 </v>
      </c>
      <c r="AP342" s="29" t="s">
        <v>9</v>
      </c>
    </row>
    <row r="343" spans="2:42">
      <c r="B343" s="24">
        <v>329</v>
      </c>
      <c r="C343" s="24" t="str">
        <f t="shared" si="31"/>
        <v/>
      </c>
      <c r="D343" s="24" t="str">
        <f>IF(ISERROR(VLOOKUP(C343,Settings!A:B,2,FALSE)),C343,VLOOKUP(C343,Settings!A:B,2,FALSE))</f>
        <v/>
      </c>
      <c r="E343" s="30" t="str">
        <f t="shared" si="33"/>
        <v>H</v>
      </c>
      <c r="F343" s="24" t="str">
        <f t="shared" si="34"/>
        <v/>
      </c>
      <c r="G343" s="24" t="str">
        <f>IF(ISNA(VLOOKUP(F343,Settings!G:H,2,FALSE)),"",VLOOKUP(F343,Settings!G:H,2,FALSE))</f>
        <v/>
      </c>
      <c r="H343" s="25"/>
      <c r="AL343" s="29">
        <f t="shared" si="32"/>
        <v>4</v>
      </c>
      <c r="AM343" s="29"/>
      <c r="AN343" s="29" t="str">
        <f>IF(ISNA(VLOOKUP(AM343,Settings!G:H,2,FALSE)),"",VLOOKUP(AM343,Settings!G:H,2,FALSE))</f>
        <v/>
      </c>
      <c r="AO343" s="30" t="str">
        <f t="shared" si="35"/>
        <v xml:space="preserve">O                                                                 </v>
      </c>
      <c r="AP343" s="29" t="s">
        <v>9</v>
      </c>
    </row>
    <row r="344" spans="2:42">
      <c r="B344" s="24">
        <v>330</v>
      </c>
      <c r="C344" s="24" t="str">
        <f t="shared" si="31"/>
        <v/>
      </c>
      <c r="D344" s="24" t="str">
        <f>IF(ISERROR(VLOOKUP(C344,Settings!A:B,2,FALSE)),C344,VLOOKUP(C344,Settings!A:B,2,FALSE))</f>
        <v/>
      </c>
      <c r="E344" s="30" t="str">
        <f t="shared" si="33"/>
        <v>H</v>
      </c>
      <c r="F344" s="24" t="str">
        <f t="shared" si="34"/>
        <v/>
      </c>
      <c r="G344" s="24" t="str">
        <f>IF(ISNA(VLOOKUP(F344,Settings!G:H,2,FALSE)),"",VLOOKUP(F344,Settings!G:H,2,FALSE))</f>
        <v/>
      </c>
      <c r="H344" s="25"/>
      <c r="AL344" s="29">
        <f t="shared" si="32"/>
        <v>5</v>
      </c>
      <c r="AM344" s="29"/>
      <c r="AN344" s="29" t="str">
        <f>IF(ISNA(VLOOKUP(AM344,Settings!G:H,2,FALSE)),"",VLOOKUP(AM344,Settings!G:H,2,FALSE))</f>
        <v/>
      </c>
      <c r="AO344" s="30" t="str">
        <f t="shared" si="35"/>
        <v xml:space="preserve">O                                                                 </v>
      </c>
      <c r="AP344" s="29" t="s">
        <v>9</v>
      </c>
    </row>
    <row r="345" spans="2:42">
      <c r="B345" s="24">
        <v>331</v>
      </c>
      <c r="C345" s="24" t="str">
        <f t="shared" si="31"/>
        <v/>
      </c>
      <c r="D345" s="24" t="str">
        <f>IF(ISERROR(VLOOKUP(C345,Settings!A:B,2,FALSE)),C345,VLOOKUP(C345,Settings!A:B,2,FALSE))</f>
        <v/>
      </c>
      <c r="E345" s="30" t="str">
        <f t="shared" si="33"/>
        <v>H</v>
      </c>
      <c r="F345" s="24" t="str">
        <f t="shared" si="34"/>
        <v/>
      </c>
      <c r="G345" s="24" t="str">
        <f>IF(ISNA(VLOOKUP(F345,Settings!G:H,2,FALSE)),"",VLOOKUP(F345,Settings!G:H,2,FALSE))</f>
        <v/>
      </c>
      <c r="H345" s="25"/>
      <c r="AL345" s="29">
        <f t="shared" si="32"/>
        <v>1</v>
      </c>
      <c r="AM345" s="29"/>
      <c r="AN345" s="29" t="str">
        <f>IF(ISNA(VLOOKUP(AM345,Settings!G:H,2,FALSE)),"",VLOOKUP(AM345,Settings!G:H,2,FALSE))</f>
        <v/>
      </c>
      <c r="AO345" s="30" t="str">
        <f t="shared" si="35"/>
        <v xml:space="preserve">O                                                                  </v>
      </c>
      <c r="AP345" s="29" t="s">
        <v>9</v>
      </c>
    </row>
    <row r="346" spans="2:42">
      <c r="B346" s="24">
        <v>332</v>
      </c>
      <c r="C346" s="24" t="str">
        <f t="shared" si="31"/>
        <v/>
      </c>
      <c r="D346" s="24" t="str">
        <f>IF(ISERROR(VLOOKUP(C346,Settings!A:B,2,FALSE)),C346,VLOOKUP(C346,Settings!A:B,2,FALSE))</f>
        <v/>
      </c>
      <c r="E346" s="30" t="str">
        <f t="shared" si="33"/>
        <v>H</v>
      </c>
      <c r="F346" s="24" t="str">
        <f t="shared" si="34"/>
        <v/>
      </c>
      <c r="G346" s="24" t="str">
        <f>IF(ISNA(VLOOKUP(F346,Settings!G:H,2,FALSE)),"",VLOOKUP(F346,Settings!G:H,2,FALSE))</f>
        <v/>
      </c>
      <c r="H346" s="25"/>
      <c r="AL346" s="29">
        <f t="shared" si="32"/>
        <v>2</v>
      </c>
      <c r="AM346" s="29"/>
      <c r="AN346" s="29" t="str">
        <f>IF(ISNA(VLOOKUP(AM346,Settings!G:H,2,FALSE)),"",VLOOKUP(AM346,Settings!G:H,2,FALSE))</f>
        <v/>
      </c>
      <c r="AO346" s="30" t="str">
        <f t="shared" si="35"/>
        <v xml:space="preserve">O                                                                  </v>
      </c>
      <c r="AP346" s="29" t="s">
        <v>9</v>
      </c>
    </row>
    <row r="347" spans="2:42">
      <c r="B347" s="24">
        <v>333</v>
      </c>
      <c r="C347" s="24" t="str">
        <f t="shared" si="31"/>
        <v/>
      </c>
      <c r="D347" s="24" t="str">
        <f>IF(ISERROR(VLOOKUP(C347,Settings!A:B,2,FALSE)),C347,VLOOKUP(C347,Settings!A:B,2,FALSE))</f>
        <v/>
      </c>
      <c r="E347" s="30" t="str">
        <f t="shared" si="33"/>
        <v>H</v>
      </c>
      <c r="F347" s="24" t="str">
        <f t="shared" si="34"/>
        <v/>
      </c>
      <c r="G347" s="24" t="str">
        <f>IF(ISNA(VLOOKUP(F347,Settings!G:H,2,FALSE)),"",VLOOKUP(F347,Settings!G:H,2,FALSE))</f>
        <v/>
      </c>
      <c r="H347" s="25"/>
      <c r="AL347" s="29">
        <f t="shared" si="32"/>
        <v>3</v>
      </c>
      <c r="AM347" s="29"/>
      <c r="AN347" s="29" t="str">
        <f>IF(ISNA(VLOOKUP(AM347,Settings!G:H,2,FALSE)),"",VLOOKUP(AM347,Settings!G:H,2,FALSE))</f>
        <v/>
      </c>
      <c r="AO347" s="30" t="str">
        <f t="shared" si="35"/>
        <v xml:space="preserve">O                                                                  </v>
      </c>
      <c r="AP347" s="29" t="s">
        <v>9</v>
      </c>
    </row>
    <row r="348" spans="2:42">
      <c r="B348" s="24">
        <v>334</v>
      </c>
      <c r="C348" s="24" t="str">
        <f t="shared" si="31"/>
        <v/>
      </c>
      <c r="D348" s="24" t="str">
        <f>IF(ISERROR(VLOOKUP(C348,Settings!A:B,2,FALSE)),C348,VLOOKUP(C348,Settings!A:B,2,FALSE))</f>
        <v/>
      </c>
      <c r="E348" s="30" t="str">
        <f t="shared" si="33"/>
        <v>H</v>
      </c>
      <c r="F348" s="24" t="str">
        <f t="shared" si="34"/>
        <v/>
      </c>
      <c r="G348" s="24" t="str">
        <f>IF(ISNA(VLOOKUP(F348,Settings!G:H,2,FALSE)),"",VLOOKUP(F348,Settings!G:H,2,FALSE))</f>
        <v/>
      </c>
      <c r="H348" s="25"/>
      <c r="AL348" s="29">
        <f t="shared" si="32"/>
        <v>4</v>
      </c>
      <c r="AM348" s="29"/>
      <c r="AN348" s="29" t="str">
        <f>IF(ISNA(VLOOKUP(AM348,Settings!G:H,2,FALSE)),"",VLOOKUP(AM348,Settings!G:H,2,FALSE))</f>
        <v/>
      </c>
      <c r="AO348" s="30" t="str">
        <f t="shared" si="35"/>
        <v xml:space="preserve">O                                                                  </v>
      </c>
      <c r="AP348" s="29" t="s">
        <v>9</v>
      </c>
    </row>
    <row r="349" spans="2:42">
      <c r="B349" s="24">
        <v>335</v>
      </c>
      <c r="C349" s="24" t="str">
        <f t="shared" si="31"/>
        <v/>
      </c>
      <c r="D349" s="24" t="str">
        <f>IF(ISERROR(VLOOKUP(C349,Settings!A:B,2,FALSE)),C349,VLOOKUP(C349,Settings!A:B,2,FALSE))</f>
        <v/>
      </c>
      <c r="E349" s="30" t="str">
        <f t="shared" si="33"/>
        <v>H</v>
      </c>
      <c r="F349" s="24" t="str">
        <f t="shared" si="34"/>
        <v/>
      </c>
      <c r="G349" s="24" t="str">
        <f>IF(ISNA(VLOOKUP(F349,Settings!G:H,2,FALSE)),"",VLOOKUP(F349,Settings!G:H,2,FALSE))</f>
        <v/>
      </c>
      <c r="H349" s="25"/>
      <c r="AL349" s="29">
        <f t="shared" si="32"/>
        <v>5</v>
      </c>
      <c r="AM349" s="29"/>
      <c r="AN349" s="29" t="str">
        <f>IF(ISNA(VLOOKUP(AM349,Settings!G:H,2,FALSE)),"",VLOOKUP(AM349,Settings!G:H,2,FALSE))</f>
        <v/>
      </c>
      <c r="AO349" s="30" t="str">
        <f t="shared" si="35"/>
        <v xml:space="preserve">O                                                                  </v>
      </c>
      <c r="AP349" s="29" t="s">
        <v>9</v>
      </c>
    </row>
    <row r="350" spans="2:42">
      <c r="B350" s="24">
        <v>336</v>
      </c>
      <c r="C350" s="24" t="str">
        <f t="shared" si="31"/>
        <v/>
      </c>
      <c r="D350" s="24" t="str">
        <f>IF(ISERROR(VLOOKUP(C350,Settings!A:B,2,FALSE)),C350,VLOOKUP(C350,Settings!A:B,2,FALSE))</f>
        <v/>
      </c>
      <c r="E350" s="30" t="str">
        <f t="shared" si="33"/>
        <v>H</v>
      </c>
      <c r="F350" s="24" t="str">
        <f t="shared" si="34"/>
        <v/>
      </c>
      <c r="G350" s="24" t="str">
        <f>IF(ISNA(VLOOKUP(F350,Settings!G:H,2,FALSE)),"",VLOOKUP(F350,Settings!G:H,2,FALSE))</f>
        <v/>
      </c>
      <c r="H350" s="25"/>
      <c r="AL350" s="29">
        <f t="shared" si="32"/>
        <v>1</v>
      </c>
      <c r="AM350" s="29"/>
      <c r="AN350" s="29" t="str">
        <f>IF(ISNA(VLOOKUP(AM350,Settings!G:H,2,FALSE)),"",VLOOKUP(AM350,Settings!G:H,2,FALSE))</f>
        <v/>
      </c>
      <c r="AO350" s="30" t="str">
        <f t="shared" si="35"/>
        <v xml:space="preserve">O                                                                   </v>
      </c>
      <c r="AP350" s="29" t="s">
        <v>9</v>
      </c>
    </row>
    <row r="351" spans="2:42">
      <c r="B351" s="24">
        <v>337</v>
      </c>
      <c r="C351" s="24" t="str">
        <f t="shared" si="31"/>
        <v/>
      </c>
      <c r="D351" s="24" t="str">
        <f>IF(ISERROR(VLOOKUP(C351,Settings!A:B,2,FALSE)),C351,VLOOKUP(C351,Settings!A:B,2,FALSE))</f>
        <v/>
      </c>
      <c r="E351" s="30" t="str">
        <f t="shared" si="33"/>
        <v>H</v>
      </c>
      <c r="F351" s="24" t="str">
        <f t="shared" si="34"/>
        <v/>
      </c>
      <c r="G351" s="24" t="str">
        <f>IF(ISNA(VLOOKUP(F351,Settings!G:H,2,FALSE)),"",VLOOKUP(F351,Settings!G:H,2,FALSE))</f>
        <v/>
      </c>
      <c r="H351" s="25"/>
      <c r="AL351" s="29">
        <f t="shared" si="32"/>
        <v>2</v>
      </c>
      <c r="AM351" s="29"/>
      <c r="AN351" s="29" t="str">
        <f>IF(ISNA(VLOOKUP(AM351,Settings!G:H,2,FALSE)),"",VLOOKUP(AM351,Settings!G:H,2,FALSE))</f>
        <v/>
      </c>
      <c r="AO351" s="30" t="str">
        <f t="shared" si="35"/>
        <v xml:space="preserve">O                                                                   </v>
      </c>
      <c r="AP351" s="29" t="s">
        <v>9</v>
      </c>
    </row>
    <row r="352" spans="2:42">
      <c r="B352" s="24">
        <v>338</v>
      </c>
      <c r="C352" s="24" t="str">
        <f t="shared" si="31"/>
        <v/>
      </c>
      <c r="D352" s="24" t="str">
        <f>IF(ISERROR(VLOOKUP(C352,Settings!A:B,2,FALSE)),C352,VLOOKUP(C352,Settings!A:B,2,FALSE))</f>
        <v/>
      </c>
      <c r="E352" s="30" t="str">
        <f t="shared" si="33"/>
        <v>H</v>
      </c>
      <c r="F352" s="24" t="str">
        <f t="shared" si="34"/>
        <v/>
      </c>
      <c r="G352" s="24" t="str">
        <f>IF(ISNA(VLOOKUP(F352,Settings!G:H,2,FALSE)),"",VLOOKUP(F352,Settings!G:H,2,FALSE))</f>
        <v/>
      </c>
      <c r="H352" s="25"/>
      <c r="AL352" s="29">
        <f t="shared" si="32"/>
        <v>3</v>
      </c>
      <c r="AM352" s="29"/>
      <c r="AN352" s="29" t="str">
        <f>IF(ISNA(VLOOKUP(AM352,Settings!G:H,2,FALSE)),"",VLOOKUP(AM352,Settings!G:H,2,FALSE))</f>
        <v/>
      </c>
      <c r="AO352" s="30" t="str">
        <f t="shared" si="35"/>
        <v xml:space="preserve">O                                                                   </v>
      </c>
      <c r="AP352" s="29" t="s">
        <v>9</v>
      </c>
    </row>
    <row r="353" spans="2:42">
      <c r="B353" s="24">
        <v>339</v>
      </c>
      <c r="C353" s="24" t="str">
        <f t="shared" si="31"/>
        <v/>
      </c>
      <c r="D353" s="24" t="str">
        <f>IF(ISERROR(VLOOKUP(C353,Settings!A:B,2,FALSE)),C353,VLOOKUP(C353,Settings!A:B,2,FALSE))</f>
        <v/>
      </c>
      <c r="E353" s="30" t="str">
        <f t="shared" si="33"/>
        <v>H</v>
      </c>
      <c r="F353" s="24" t="str">
        <f t="shared" si="34"/>
        <v/>
      </c>
      <c r="G353" s="24" t="str">
        <f>IF(ISNA(VLOOKUP(F353,Settings!G:H,2,FALSE)),"",VLOOKUP(F353,Settings!G:H,2,FALSE))</f>
        <v/>
      </c>
      <c r="H353" s="25"/>
      <c r="AL353" s="29">
        <f t="shared" si="32"/>
        <v>4</v>
      </c>
      <c r="AM353" s="29"/>
      <c r="AN353" s="29" t="str">
        <f>IF(ISNA(VLOOKUP(AM353,Settings!G:H,2,FALSE)),"",VLOOKUP(AM353,Settings!G:H,2,FALSE))</f>
        <v/>
      </c>
      <c r="AO353" s="30" t="str">
        <f t="shared" si="35"/>
        <v xml:space="preserve">O                                                                   </v>
      </c>
      <c r="AP353" s="29" t="s">
        <v>9</v>
      </c>
    </row>
    <row r="354" spans="2:42">
      <c r="B354" s="24">
        <v>340</v>
      </c>
      <c r="C354" s="24" t="str">
        <f t="shared" si="31"/>
        <v/>
      </c>
      <c r="D354" s="24" t="str">
        <f>IF(ISERROR(VLOOKUP(C354,Settings!A:B,2,FALSE)),C354,VLOOKUP(C354,Settings!A:B,2,FALSE))</f>
        <v/>
      </c>
      <c r="E354" s="30" t="str">
        <f t="shared" si="33"/>
        <v>H</v>
      </c>
      <c r="F354" s="24" t="str">
        <f t="shared" si="34"/>
        <v/>
      </c>
      <c r="G354" s="24" t="str">
        <f>IF(ISNA(VLOOKUP(F354,Settings!G:H,2,FALSE)),"",VLOOKUP(F354,Settings!G:H,2,FALSE))</f>
        <v/>
      </c>
      <c r="H354" s="25"/>
      <c r="AL354" s="29">
        <f t="shared" si="32"/>
        <v>5</v>
      </c>
      <c r="AM354" s="29"/>
      <c r="AN354" s="29" t="str">
        <f>IF(ISNA(VLOOKUP(AM354,Settings!G:H,2,FALSE)),"",VLOOKUP(AM354,Settings!G:H,2,FALSE))</f>
        <v/>
      </c>
      <c r="AO354" s="30" t="str">
        <f t="shared" si="35"/>
        <v xml:space="preserve">O                                                                   </v>
      </c>
      <c r="AP354" s="29" t="s">
        <v>9</v>
      </c>
    </row>
    <row r="355" spans="2:42">
      <c r="B355" s="24">
        <v>341</v>
      </c>
      <c r="C355" s="24" t="str">
        <f t="shared" si="31"/>
        <v/>
      </c>
      <c r="D355" s="24" t="str">
        <f>IF(ISERROR(VLOOKUP(C355,Settings!A:B,2,FALSE)),C355,VLOOKUP(C355,Settings!A:B,2,FALSE))</f>
        <v/>
      </c>
      <c r="E355" s="30" t="str">
        <f t="shared" si="33"/>
        <v>H</v>
      </c>
      <c r="F355" s="24" t="str">
        <f t="shared" si="34"/>
        <v/>
      </c>
      <c r="G355" s="24" t="str">
        <f>IF(ISNA(VLOOKUP(F355,Settings!G:H,2,FALSE)),"",VLOOKUP(F355,Settings!G:H,2,FALSE))</f>
        <v/>
      </c>
      <c r="H355" s="25"/>
      <c r="AL355" s="29">
        <f t="shared" si="32"/>
        <v>1</v>
      </c>
      <c r="AM355" s="29"/>
      <c r="AN355" s="29" t="str">
        <f>IF(ISNA(VLOOKUP(AM355,Settings!G:H,2,FALSE)),"",VLOOKUP(AM355,Settings!G:H,2,FALSE))</f>
        <v/>
      </c>
      <c r="AO355" s="30" t="str">
        <f t="shared" si="35"/>
        <v xml:space="preserve">O                                                                    </v>
      </c>
      <c r="AP355" s="29" t="s">
        <v>9</v>
      </c>
    </row>
    <row r="356" spans="2:42">
      <c r="B356" s="24">
        <v>342</v>
      </c>
      <c r="C356" s="24" t="str">
        <f t="shared" si="31"/>
        <v/>
      </c>
      <c r="D356" s="24" t="str">
        <f>IF(ISERROR(VLOOKUP(C356,Settings!A:B,2,FALSE)),C356,VLOOKUP(C356,Settings!A:B,2,FALSE))</f>
        <v/>
      </c>
      <c r="E356" s="30" t="str">
        <f t="shared" si="33"/>
        <v>H</v>
      </c>
      <c r="F356" s="24" t="str">
        <f t="shared" si="34"/>
        <v/>
      </c>
      <c r="G356" s="24" t="str">
        <f>IF(ISNA(VLOOKUP(F356,Settings!G:H,2,FALSE)),"",VLOOKUP(F356,Settings!G:H,2,FALSE))</f>
        <v/>
      </c>
      <c r="H356" s="25"/>
      <c r="AL356" s="29">
        <f t="shared" si="32"/>
        <v>2</v>
      </c>
      <c r="AM356" s="29"/>
      <c r="AN356" s="29" t="str">
        <f>IF(ISNA(VLOOKUP(AM356,Settings!G:H,2,FALSE)),"",VLOOKUP(AM356,Settings!G:H,2,FALSE))</f>
        <v/>
      </c>
      <c r="AO356" s="30" t="str">
        <f t="shared" si="35"/>
        <v xml:space="preserve">O                                                                    </v>
      </c>
      <c r="AP356" s="29" t="s">
        <v>9</v>
      </c>
    </row>
    <row r="357" spans="2:42">
      <c r="B357" s="24">
        <v>343</v>
      </c>
      <c r="C357" s="24" t="str">
        <f t="shared" si="31"/>
        <v/>
      </c>
      <c r="D357" s="24" t="str">
        <f>IF(ISERROR(VLOOKUP(C357,Settings!A:B,2,FALSE)),C357,VLOOKUP(C357,Settings!A:B,2,FALSE))</f>
        <v/>
      </c>
      <c r="E357" s="30" t="str">
        <f t="shared" si="33"/>
        <v>H</v>
      </c>
      <c r="F357" s="24" t="str">
        <f t="shared" si="34"/>
        <v/>
      </c>
      <c r="G357" s="24" t="str">
        <f>IF(ISNA(VLOOKUP(F357,Settings!G:H,2,FALSE)),"",VLOOKUP(F357,Settings!G:H,2,FALSE))</f>
        <v/>
      </c>
      <c r="H357" s="25"/>
      <c r="AL357" s="29">
        <f t="shared" si="32"/>
        <v>3</v>
      </c>
      <c r="AM357" s="29"/>
      <c r="AN357" s="29" t="str">
        <f>IF(ISNA(VLOOKUP(AM357,Settings!G:H,2,FALSE)),"",VLOOKUP(AM357,Settings!G:H,2,FALSE))</f>
        <v/>
      </c>
      <c r="AO357" s="30" t="str">
        <f t="shared" si="35"/>
        <v xml:space="preserve">O                                                                    </v>
      </c>
      <c r="AP357" s="29" t="s">
        <v>9</v>
      </c>
    </row>
    <row r="358" spans="2:42">
      <c r="B358" s="24">
        <v>344</v>
      </c>
      <c r="C358" s="24" t="str">
        <f t="shared" si="31"/>
        <v/>
      </c>
      <c r="D358" s="24" t="str">
        <f>IF(ISERROR(VLOOKUP(C358,Settings!A:B,2,FALSE)),C358,VLOOKUP(C358,Settings!A:B,2,FALSE))</f>
        <v/>
      </c>
      <c r="E358" s="30" t="str">
        <f t="shared" si="33"/>
        <v>H</v>
      </c>
      <c r="F358" s="24" t="str">
        <f t="shared" si="34"/>
        <v/>
      </c>
      <c r="G358" s="24" t="str">
        <f>IF(ISNA(VLOOKUP(F358,Settings!G:H,2,FALSE)),"",VLOOKUP(F358,Settings!G:H,2,FALSE))</f>
        <v/>
      </c>
      <c r="H358" s="25"/>
      <c r="AL358" s="29">
        <f t="shared" si="32"/>
        <v>4</v>
      </c>
      <c r="AM358" s="29"/>
      <c r="AN358" s="29" t="str">
        <f>IF(ISNA(VLOOKUP(AM358,Settings!G:H,2,FALSE)),"",VLOOKUP(AM358,Settings!G:H,2,FALSE))</f>
        <v/>
      </c>
      <c r="AO358" s="30" t="str">
        <f t="shared" si="35"/>
        <v xml:space="preserve">O                                                                    </v>
      </c>
      <c r="AP358" s="29" t="s">
        <v>9</v>
      </c>
    </row>
    <row r="359" spans="2:42">
      <c r="B359" s="24">
        <v>345</v>
      </c>
      <c r="C359" s="24" t="str">
        <f t="shared" si="31"/>
        <v/>
      </c>
      <c r="D359" s="24" t="str">
        <f>IF(ISERROR(VLOOKUP(C359,Settings!A:B,2,FALSE)),C359,VLOOKUP(C359,Settings!A:B,2,FALSE))</f>
        <v/>
      </c>
      <c r="E359" s="30" t="str">
        <f t="shared" si="33"/>
        <v>H</v>
      </c>
      <c r="F359" s="24" t="str">
        <f t="shared" si="34"/>
        <v/>
      </c>
      <c r="G359" s="24" t="str">
        <f>IF(ISNA(VLOOKUP(F359,Settings!G:H,2,FALSE)),"",VLOOKUP(F359,Settings!G:H,2,FALSE))</f>
        <v/>
      </c>
      <c r="H359" s="25"/>
      <c r="AL359" s="29">
        <f t="shared" si="32"/>
        <v>5</v>
      </c>
      <c r="AM359" s="29"/>
      <c r="AN359" s="29" t="str">
        <f>IF(ISNA(VLOOKUP(AM359,Settings!G:H,2,FALSE)),"",VLOOKUP(AM359,Settings!G:H,2,FALSE))</f>
        <v/>
      </c>
      <c r="AO359" s="30" t="str">
        <f t="shared" si="35"/>
        <v xml:space="preserve">O                                                                    </v>
      </c>
      <c r="AP359" s="29" t="s">
        <v>9</v>
      </c>
    </row>
    <row r="360" spans="2:42">
      <c r="B360" s="24">
        <v>346</v>
      </c>
      <c r="C360" s="24" t="str">
        <f t="shared" si="31"/>
        <v/>
      </c>
      <c r="D360" s="24" t="str">
        <f>IF(ISERROR(VLOOKUP(C360,Settings!A:B,2,FALSE)),C360,VLOOKUP(C360,Settings!A:B,2,FALSE))</f>
        <v/>
      </c>
      <c r="E360" s="30" t="str">
        <f t="shared" si="33"/>
        <v>H</v>
      </c>
      <c r="F360" s="24" t="str">
        <f t="shared" si="34"/>
        <v/>
      </c>
      <c r="G360" s="24" t="str">
        <f>IF(ISNA(VLOOKUP(F360,Settings!G:H,2,FALSE)),"",VLOOKUP(F360,Settings!G:H,2,FALSE))</f>
        <v/>
      </c>
      <c r="H360" s="25"/>
      <c r="AL360" s="29">
        <f t="shared" si="32"/>
        <v>1</v>
      </c>
      <c r="AM360" s="29"/>
      <c r="AN360" s="29" t="str">
        <f>IF(ISNA(VLOOKUP(AM360,Settings!G:H,2,FALSE)),"",VLOOKUP(AM360,Settings!G:H,2,FALSE))</f>
        <v/>
      </c>
      <c r="AO360" s="30" t="str">
        <f t="shared" si="35"/>
        <v xml:space="preserve">O                                                                     </v>
      </c>
      <c r="AP360" s="29" t="s">
        <v>9</v>
      </c>
    </row>
    <row r="361" spans="2:42">
      <c r="B361" s="24">
        <v>347</v>
      </c>
      <c r="C361" s="24" t="str">
        <f t="shared" si="31"/>
        <v/>
      </c>
      <c r="D361" s="24" t="str">
        <f>IF(ISERROR(VLOOKUP(C361,Settings!A:B,2,FALSE)),C361,VLOOKUP(C361,Settings!A:B,2,FALSE))</f>
        <v/>
      </c>
      <c r="E361" s="30" t="str">
        <f t="shared" si="33"/>
        <v>H</v>
      </c>
      <c r="F361" s="24" t="str">
        <f t="shared" si="34"/>
        <v/>
      </c>
      <c r="G361" s="24" t="str">
        <f>IF(ISNA(VLOOKUP(F361,Settings!G:H,2,FALSE)),"",VLOOKUP(F361,Settings!G:H,2,FALSE))</f>
        <v/>
      </c>
      <c r="H361" s="25"/>
      <c r="AL361" s="29">
        <f t="shared" si="32"/>
        <v>2</v>
      </c>
      <c r="AM361" s="29"/>
      <c r="AN361" s="29" t="str">
        <f>IF(ISNA(VLOOKUP(AM361,Settings!G:H,2,FALSE)),"",VLOOKUP(AM361,Settings!G:H,2,FALSE))</f>
        <v/>
      </c>
      <c r="AO361" s="30" t="str">
        <f t="shared" si="35"/>
        <v xml:space="preserve">O                                                                     </v>
      </c>
      <c r="AP361" s="29" t="s">
        <v>9</v>
      </c>
    </row>
    <row r="362" spans="2:42">
      <c r="B362" s="24">
        <v>348</v>
      </c>
      <c r="C362" s="24" t="str">
        <f t="shared" si="31"/>
        <v/>
      </c>
      <c r="D362" s="24" t="str">
        <f>IF(ISERROR(VLOOKUP(C362,Settings!A:B,2,FALSE)),C362,VLOOKUP(C362,Settings!A:B,2,FALSE))</f>
        <v/>
      </c>
      <c r="E362" s="30" t="str">
        <f t="shared" si="33"/>
        <v>H</v>
      </c>
      <c r="F362" s="24" t="str">
        <f t="shared" si="34"/>
        <v/>
      </c>
      <c r="G362" s="24" t="str">
        <f>IF(ISNA(VLOOKUP(F362,Settings!G:H,2,FALSE)),"",VLOOKUP(F362,Settings!G:H,2,FALSE))</f>
        <v/>
      </c>
      <c r="H362" s="25"/>
      <c r="AL362" s="29">
        <f t="shared" si="32"/>
        <v>3</v>
      </c>
      <c r="AM362" s="29"/>
      <c r="AN362" s="29" t="str">
        <f>IF(ISNA(VLOOKUP(AM362,Settings!G:H,2,FALSE)),"",VLOOKUP(AM362,Settings!G:H,2,FALSE))</f>
        <v/>
      </c>
      <c r="AO362" s="30" t="str">
        <f t="shared" si="35"/>
        <v xml:space="preserve">O                                                                     </v>
      </c>
      <c r="AP362" s="29" t="s">
        <v>9</v>
      </c>
    </row>
    <row r="363" spans="2:42">
      <c r="B363" s="24">
        <v>349</v>
      </c>
      <c r="C363" s="24" t="str">
        <f t="shared" si="31"/>
        <v/>
      </c>
      <c r="D363" s="24" t="str">
        <f>IF(ISERROR(VLOOKUP(C363,Settings!A:B,2,FALSE)),C363,VLOOKUP(C363,Settings!A:B,2,FALSE))</f>
        <v/>
      </c>
      <c r="E363" s="30" t="str">
        <f t="shared" si="33"/>
        <v>H</v>
      </c>
      <c r="F363" s="24" t="str">
        <f t="shared" si="34"/>
        <v/>
      </c>
      <c r="G363" s="24" t="str">
        <f>IF(ISNA(VLOOKUP(F363,Settings!G:H,2,FALSE)),"",VLOOKUP(F363,Settings!G:H,2,FALSE))</f>
        <v/>
      </c>
      <c r="H363" s="25"/>
      <c r="AL363" s="29">
        <f t="shared" si="32"/>
        <v>4</v>
      </c>
      <c r="AM363" s="29"/>
      <c r="AN363" s="29" t="str">
        <f>IF(ISNA(VLOOKUP(AM363,Settings!G:H,2,FALSE)),"",VLOOKUP(AM363,Settings!G:H,2,FALSE))</f>
        <v/>
      </c>
      <c r="AO363" s="30" t="str">
        <f t="shared" si="35"/>
        <v xml:space="preserve">O                                                                     </v>
      </c>
      <c r="AP363" s="29" t="s">
        <v>9</v>
      </c>
    </row>
    <row r="364" spans="2:42">
      <c r="B364" s="24">
        <v>350</v>
      </c>
      <c r="C364" s="24" t="str">
        <f t="shared" si="31"/>
        <v/>
      </c>
      <c r="D364" s="24" t="str">
        <f>IF(ISERROR(VLOOKUP(C364,Settings!A:B,2,FALSE)),C364,VLOOKUP(C364,Settings!A:B,2,FALSE))</f>
        <v/>
      </c>
      <c r="E364" s="30" t="str">
        <f t="shared" si="33"/>
        <v>H</v>
      </c>
      <c r="F364" s="24" t="str">
        <f t="shared" si="34"/>
        <v/>
      </c>
      <c r="G364" s="24" t="str">
        <f>IF(ISNA(VLOOKUP(F364,Settings!G:H,2,FALSE)),"",VLOOKUP(F364,Settings!G:H,2,FALSE))</f>
        <v/>
      </c>
      <c r="H364" s="25"/>
      <c r="AL364" s="29">
        <f t="shared" si="32"/>
        <v>5</v>
      </c>
      <c r="AM364" s="29"/>
      <c r="AN364" s="29" t="str">
        <f>IF(ISNA(VLOOKUP(AM364,Settings!G:H,2,FALSE)),"",VLOOKUP(AM364,Settings!G:H,2,FALSE))</f>
        <v/>
      </c>
      <c r="AO364" s="30" t="str">
        <f t="shared" si="35"/>
        <v xml:space="preserve">O                                                                     </v>
      </c>
      <c r="AP364" s="29" t="s">
        <v>9</v>
      </c>
    </row>
    <row r="365" spans="2:42">
      <c r="B365" s="24">
        <v>351</v>
      </c>
      <c r="C365" s="24" t="str">
        <f t="shared" si="31"/>
        <v/>
      </c>
      <c r="D365" s="24" t="str">
        <f>IF(ISERROR(VLOOKUP(C365,Settings!A:B,2,FALSE)),C365,VLOOKUP(C365,Settings!A:B,2,FALSE))</f>
        <v/>
      </c>
      <c r="E365" s="30" t="str">
        <f t="shared" si="33"/>
        <v>H</v>
      </c>
      <c r="F365" s="24" t="str">
        <f t="shared" si="34"/>
        <v/>
      </c>
      <c r="G365" s="24" t="str">
        <f>IF(ISNA(VLOOKUP(F365,Settings!G:H,2,FALSE)),"",VLOOKUP(F365,Settings!G:H,2,FALSE))</f>
        <v/>
      </c>
      <c r="H365" s="25"/>
      <c r="AL365" s="29">
        <f t="shared" si="32"/>
        <v>1</v>
      </c>
      <c r="AM365" s="29"/>
      <c r="AN365" s="29" t="str">
        <f>IF(ISNA(VLOOKUP(AM365,Settings!G:H,2,FALSE)),"",VLOOKUP(AM365,Settings!G:H,2,FALSE))</f>
        <v/>
      </c>
      <c r="AO365" s="30" t="str">
        <f t="shared" si="35"/>
        <v xml:space="preserve">O                                                                      </v>
      </c>
      <c r="AP365" s="29" t="s">
        <v>9</v>
      </c>
    </row>
    <row r="366" spans="2:42">
      <c r="B366" s="24">
        <v>352</v>
      </c>
      <c r="C366" s="24" t="str">
        <f t="shared" si="31"/>
        <v/>
      </c>
      <c r="D366" s="24" t="str">
        <f>IF(ISERROR(VLOOKUP(C366,Settings!A:B,2,FALSE)),C366,VLOOKUP(C366,Settings!A:B,2,FALSE))</f>
        <v/>
      </c>
      <c r="E366" s="30" t="str">
        <f t="shared" si="33"/>
        <v>H</v>
      </c>
      <c r="F366" s="24" t="str">
        <f t="shared" si="34"/>
        <v/>
      </c>
      <c r="G366" s="24" t="str">
        <f>IF(ISNA(VLOOKUP(F366,Settings!G:H,2,FALSE)),"",VLOOKUP(F366,Settings!G:H,2,FALSE))</f>
        <v/>
      </c>
      <c r="H366" s="25"/>
      <c r="AL366" s="29">
        <f t="shared" si="32"/>
        <v>2</v>
      </c>
      <c r="AM366" s="29"/>
      <c r="AN366" s="29" t="str">
        <f>IF(ISNA(VLOOKUP(AM366,Settings!G:H,2,FALSE)),"",VLOOKUP(AM366,Settings!G:H,2,FALSE))</f>
        <v/>
      </c>
      <c r="AO366" s="30" t="str">
        <f t="shared" si="35"/>
        <v xml:space="preserve">O                                                                      </v>
      </c>
      <c r="AP366" s="29" t="s">
        <v>9</v>
      </c>
    </row>
    <row r="367" spans="2:42">
      <c r="B367" s="24">
        <v>353</v>
      </c>
      <c r="C367" s="24" t="str">
        <f t="shared" si="31"/>
        <v/>
      </c>
      <c r="D367" s="24" t="str">
        <f>IF(ISERROR(VLOOKUP(C367,Settings!A:B,2,FALSE)),C367,VLOOKUP(C367,Settings!A:B,2,FALSE))</f>
        <v/>
      </c>
      <c r="E367" s="30" t="str">
        <f t="shared" si="33"/>
        <v>H</v>
      </c>
      <c r="F367" s="24" t="str">
        <f t="shared" si="34"/>
        <v/>
      </c>
      <c r="G367" s="24" t="str">
        <f>IF(ISNA(VLOOKUP(F367,Settings!G:H,2,FALSE)),"",VLOOKUP(F367,Settings!G:H,2,FALSE))</f>
        <v/>
      </c>
      <c r="H367" s="25"/>
      <c r="AL367" s="29">
        <f t="shared" si="32"/>
        <v>3</v>
      </c>
      <c r="AM367" s="29"/>
      <c r="AN367" s="29" t="str">
        <f>IF(ISNA(VLOOKUP(AM367,Settings!G:H,2,FALSE)),"",VLOOKUP(AM367,Settings!G:H,2,FALSE))</f>
        <v/>
      </c>
      <c r="AO367" s="30" t="str">
        <f t="shared" si="35"/>
        <v xml:space="preserve">O                                                                      </v>
      </c>
      <c r="AP367" s="29" t="s">
        <v>9</v>
      </c>
    </row>
    <row r="368" spans="2:42">
      <c r="B368" s="24">
        <v>354</v>
      </c>
      <c r="C368" s="24" t="str">
        <f t="shared" si="31"/>
        <v/>
      </c>
      <c r="D368" s="24" t="str">
        <f>IF(ISERROR(VLOOKUP(C368,Settings!A:B,2,FALSE)),C368,VLOOKUP(C368,Settings!A:B,2,FALSE))</f>
        <v/>
      </c>
      <c r="E368" s="30" t="str">
        <f t="shared" si="33"/>
        <v>H</v>
      </c>
      <c r="F368" s="24" t="str">
        <f t="shared" si="34"/>
        <v/>
      </c>
      <c r="G368" s="24" t="str">
        <f>IF(ISNA(VLOOKUP(F368,Settings!G:H,2,FALSE)),"",VLOOKUP(F368,Settings!G:H,2,FALSE))</f>
        <v/>
      </c>
      <c r="H368" s="25"/>
      <c r="AL368" s="29">
        <f t="shared" si="32"/>
        <v>4</v>
      </c>
      <c r="AM368" s="29"/>
      <c r="AN368" s="29" t="str">
        <f>IF(ISNA(VLOOKUP(AM368,Settings!G:H,2,FALSE)),"",VLOOKUP(AM368,Settings!G:H,2,FALSE))</f>
        <v/>
      </c>
      <c r="AO368" s="30" t="str">
        <f t="shared" si="35"/>
        <v xml:space="preserve">O                                                                      </v>
      </c>
      <c r="AP368" s="29" t="s">
        <v>9</v>
      </c>
    </row>
    <row r="369" spans="2:42">
      <c r="B369" s="24">
        <v>355</v>
      </c>
      <c r="C369" s="24" t="str">
        <f t="shared" si="31"/>
        <v/>
      </c>
      <c r="D369" s="24" t="str">
        <f>IF(ISERROR(VLOOKUP(C369,Settings!A:B,2,FALSE)),C369,VLOOKUP(C369,Settings!A:B,2,FALSE))</f>
        <v/>
      </c>
      <c r="E369" s="30" t="str">
        <f t="shared" si="33"/>
        <v>H</v>
      </c>
      <c r="F369" s="24" t="str">
        <f t="shared" si="34"/>
        <v/>
      </c>
      <c r="G369" s="24" t="str">
        <f>IF(ISNA(VLOOKUP(F369,Settings!G:H,2,FALSE)),"",VLOOKUP(F369,Settings!G:H,2,FALSE))</f>
        <v/>
      </c>
      <c r="H369" s="25"/>
      <c r="AL369" s="29">
        <f t="shared" si="32"/>
        <v>5</v>
      </c>
      <c r="AM369" s="29"/>
      <c r="AN369" s="29" t="str">
        <f>IF(ISNA(VLOOKUP(AM369,Settings!G:H,2,FALSE)),"",VLOOKUP(AM369,Settings!G:H,2,FALSE))</f>
        <v/>
      </c>
      <c r="AO369" s="30" t="str">
        <f t="shared" si="35"/>
        <v xml:space="preserve">O                                                                      </v>
      </c>
      <c r="AP369" s="29" t="s">
        <v>9</v>
      </c>
    </row>
    <row r="370" spans="2:42">
      <c r="B370" s="24">
        <v>356</v>
      </c>
      <c r="C370" s="24" t="str">
        <f t="shared" si="31"/>
        <v/>
      </c>
      <c r="D370" s="24" t="str">
        <f>IF(ISERROR(VLOOKUP(C370,Settings!A:B,2,FALSE)),C370,VLOOKUP(C370,Settings!A:B,2,FALSE))</f>
        <v/>
      </c>
      <c r="E370" s="30" t="str">
        <f t="shared" si="33"/>
        <v>H</v>
      </c>
      <c r="F370" s="24" t="str">
        <f t="shared" si="34"/>
        <v/>
      </c>
      <c r="G370" s="24" t="str">
        <f>IF(ISNA(VLOOKUP(F370,Settings!G:H,2,FALSE)),"",VLOOKUP(F370,Settings!G:H,2,FALSE))</f>
        <v/>
      </c>
      <c r="H370" s="25"/>
      <c r="AL370" s="29">
        <f t="shared" si="32"/>
        <v>1</v>
      </c>
      <c r="AM370" s="29"/>
      <c r="AN370" s="29" t="str">
        <f>IF(ISNA(VLOOKUP(AM370,Settings!G:H,2,FALSE)),"",VLOOKUP(AM370,Settings!G:H,2,FALSE))</f>
        <v/>
      </c>
      <c r="AO370" s="30" t="str">
        <f t="shared" si="35"/>
        <v xml:space="preserve">O                                                                       </v>
      </c>
      <c r="AP370" s="29" t="s">
        <v>9</v>
      </c>
    </row>
    <row r="371" spans="2:42">
      <c r="B371" s="24">
        <v>357</v>
      </c>
      <c r="C371" s="24" t="str">
        <f t="shared" si="31"/>
        <v/>
      </c>
      <c r="D371" s="24" t="str">
        <f>IF(ISERROR(VLOOKUP(C371,Settings!A:B,2,FALSE)),C371,VLOOKUP(C371,Settings!A:B,2,FALSE))</f>
        <v/>
      </c>
      <c r="E371" s="30" t="str">
        <f t="shared" si="33"/>
        <v>H</v>
      </c>
      <c r="F371" s="24" t="str">
        <f t="shared" si="34"/>
        <v/>
      </c>
      <c r="G371" s="24" t="str">
        <f>IF(ISNA(VLOOKUP(F371,Settings!G:H,2,FALSE)),"",VLOOKUP(F371,Settings!G:H,2,FALSE))</f>
        <v/>
      </c>
      <c r="H371" s="25"/>
      <c r="AL371" s="29">
        <f t="shared" si="32"/>
        <v>2</v>
      </c>
      <c r="AM371" s="29"/>
      <c r="AN371" s="29" t="str">
        <f>IF(ISNA(VLOOKUP(AM371,Settings!G:H,2,FALSE)),"",VLOOKUP(AM371,Settings!G:H,2,FALSE))</f>
        <v/>
      </c>
      <c r="AO371" s="30" t="str">
        <f t="shared" si="35"/>
        <v xml:space="preserve">O                                                                       </v>
      </c>
      <c r="AP371" s="29" t="s">
        <v>9</v>
      </c>
    </row>
    <row r="372" spans="2:42">
      <c r="B372" s="24">
        <v>358</v>
      </c>
      <c r="C372" s="24" t="str">
        <f t="shared" si="31"/>
        <v/>
      </c>
      <c r="D372" s="24" t="str">
        <f>IF(ISERROR(VLOOKUP(C372,Settings!A:B,2,FALSE)),C372,VLOOKUP(C372,Settings!A:B,2,FALSE))</f>
        <v/>
      </c>
      <c r="E372" s="30" t="str">
        <f t="shared" si="33"/>
        <v>H</v>
      </c>
      <c r="F372" s="24" t="str">
        <f t="shared" si="34"/>
        <v/>
      </c>
      <c r="G372" s="24" t="str">
        <f>IF(ISNA(VLOOKUP(F372,Settings!G:H,2,FALSE)),"",VLOOKUP(F372,Settings!G:H,2,FALSE))</f>
        <v/>
      </c>
      <c r="H372" s="25"/>
      <c r="AL372" s="29">
        <f t="shared" si="32"/>
        <v>3</v>
      </c>
      <c r="AM372" s="29"/>
      <c r="AN372" s="29" t="str">
        <f>IF(ISNA(VLOOKUP(AM372,Settings!G:H,2,FALSE)),"",VLOOKUP(AM372,Settings!G:H,2,FALSE))</f>
        <v/>
      </c>
      <c r="AO372" s="30" t="str">
        <f t="shared" si="35"/>
        <v xml:space="preserve">O                                                                       </v>
      </c>
      <c r="AP372" s="29" t="s">
        <v>9</v>
      </c>
    </row>
    <row r="373" spans="2:42">
      <c r="B373" s="24">
        <v>359</v>
      </c>
      <c r="C373" s="24" t="str">
        <f t="shared" si="31"/>
        <v/>
      </c>
      <c r="D373" s="24" t="str">
        <f>IF(ISERROR(VLOOKUP(C373,Settings!A:B,2,FALSE)),C373,VLOOKUP(C373,Settings!A:B,2,FALSE))</f>
        <v/>
      </c>
      <c r="E373" s="30" t="str">
        <f t="shared" si="33"/>
        <v>H</v>
      </c>
      <c r="F373" s="24" t="str">
        <f t="shared" si="34"/>
        <v/>
      </c>
      <c r="G373" s="24" t="str">
        <f>IF(ISNA(VLOOKUP(F373,Settings!G:H,2,FALSE)),"",VLOOKUP(F373,Settings!G:H,2,FALSE))</f>
        <v/>
      </c>
      <c r="H373" s="25"/>
      <c r="AL373" s="29">
        <f t="shared" si="32"/>
        <v>4</v>
      </c>
      <c r="AM373" s="29"/>
      <c r="AN373" s="29" t="str">
        <f>IF(ISNA(VLOOKUP(AM373,Settings!G:H,2,FALSE)),"",VLOOKUP(AM373,Settings!G:H,2,FALSE))</f>
        <v/>
      </c>
      <c r="AO373" s="30" t="str">
        <f t="shared" si="35"/>
        <v xml:space="preserve">O                                                                       </v>
      </c>
      <c r="AP373" s="29" t="s">
        <v>9</v>
      </c>
    </row>
    <row r="374" spans="2:42">
      <c r="B374" s="24">
        <v>360</v>
      </c>
      <c r="C374" s="24" t="str">
        <f t="shared" si="31"/>
        <v/>
      </c>
      <c r="D374" s="24" t="str">
        <f>IF(ISERROR(VLOOKUP(C374,Settings!A:B,2,FALSE)),C374,VLOOKUP(C374,Settings!A:B,2,FALSE))</f>
        <v/>
      </c>
      <c r="E374" s="30" t="str">
        <f t="shared" si="33"/>
        <v>H</v>
      </c>
      <c r="F374" s="24" t="str">
        <f t="shared" si="34"/>
        <v/>
      </c>
      <c r="G374" s="24" t="str">
        <f>IF(ISNA(VLOOKUP(F374,Settings!G:H,2,FALSE)),"",VLOOKUP(F374,Settings!G:H,2,FALSE))</f>
        <v/>
      </c>
      <c r="H374" s="25"/>
      <c r="AL374" s="29">
        <f t="shared" si="32"/>
        <v>5</v>
      </c>
      <c r="AM374" s="29"/>
      <c r="AN374" s="29" t="str">
        <f>IF(ISNA(VLOOKUP(AM374,Settings!G:H,2,FALSE)),"",VLOOKUP(AM374,Settings!G:H,2,FALSE))</f>
        <v/>
      </c>
      <c r="AO374" s="30" t="str">
        <f t="shared" si="35"/>
        <v xml:space="preserve">O                                                                       </v>
      </c>
      <c r="AP374" s="29" t="s">
        <v>9</v>
      </c>
    </row>
    <row r="375" spans="2:42">
      <c r="B375" s="24">
        <v>361</v>
      </c>
      <c r="C375" s="24" t="str">
        <f t="shared" si="31"/>
        <v/>
      </c>
      <c r="D375" s="24" t="str">
        <f>IF(ISERROR(VLOOKUP(C375,Settings!A:B,2,FALSE)),C375,VLOOKUP(C375,Settings!A:B,2,FALSE))</f>
        <v/>
      </c>
      <c r="E375" s="30" t="str">
        <f t="shared" si="33"/>
        <v>H</v>
      </c>
      <c r="F375" s="24" t="str">
        <f t="shared" si="34"/>
        <v/>
      </c>
      <c r="G375" s="24" t="str">
        <f>IF(ISNA(VLOOKUP(F375,Settings!G:H,2,FALSE)),"",VLOOKUP(F375,Settings!G:H,2,FALSE))</f>
        <v/>
      </c>
      <c r="H375" s="25"/>
      <c r="AL375" s="29">
        <f t="shared" si="32"/>
        <v>1</v>
      </c>
      <c r="AM375" s="29"/>
      <c r="AN375" s="29" t="str">
        <f>IF(ISNA(VLOOKUP(AM375,Settings!G:H,2,FALSE)),"",VLOOKUP(AM375,Settings!G:H,2,FALSE))</f>
        <v/>
      </c>
      <c r="AO375" s="30" t="str">
        <f t="shared" si="35"/>
        <v xml:space="preserve">O                                                                        </v>
      </c>
      <c r="AP375" s="29" t="s">
        <v>9</v>
      </c>
    </row>
    <row r="376" spans="2:42">
      <c r="B376" s="24">
        <v>362</v>
      </c>
      <c r="C376" s="24" t="str">
        <f t="shared" si="31"/>
        <v/>
      </c>
      <c r="D376" s="24" t="str">
        <f>IF(ISERROR(VLOOKUP(C376,Settings!A:B,2,FALSE)),C376,VLOOKUP(C376,Settings!A:B,2,FALSE))</f>
        <v/>
      </c>
      <c r="E376" s="30" t="str">
        <f t="shared" si="33"/>
        <v>H</v>
      </c>
      <c r="F376" s="24" t="str">
        <f t="shared" si="34"/>
        <v/>
      </c>
      <c r="G376" s="24" t="str">
        <f>IF(ISNA(VLOOKUP(F376,Settings!G:H,2,FALSE)),"",VLOOKUP(F376,Settings!G:H,2,FALSE))</f>
        <v/>
      </c>
      <c r="H376" s="25"/>
      <c r="AL376" s="29">
        <f t="shared" si="32"/>
        <v>2</v>
      </c>
      <c r="AM376" s="29"/>
      <c r="AN376" s="29" t="str">
        <f>IF(ISNA(VLOOKUP(AM376,Settings!G:H,2,FALSE)),"",VLOOKUP(AM376,Settings!G:H,2,FALSE))</f>
        <v/>
      </c>
      <c r="AO376" s="30" t="str">
        <f t="shared" si="35"/>
        <v xml:space="preserve">O                                                                        </v>
      </c>
      <c r="AP376" s="29" t="s">
        <v>9</v>
      </c>
    </row>
    <row r="377" spans="2:42">
      <c r="B377" s="24">
        <v>363</v>
      </c>
      <c r="C377" s="24" t="str">
        <f t="shared" si="31"/>
        <v/>
      </c>
      <c r="D377" s="24" t="str">
        <f>IF(ISERROR(VLOOKUP(C377,Settings!A:B,2,FALSE)),C377,VLOOKUP(C377,Settings!A:B,2,FALSE))</f>
        <v/>
      </c>
      <c r="E377" s="30" t="str">
        <f t="shared" si="33"/>
        <v>H</v>
      </c>
      <c r="F377" s="24" t="str">
        <f t="shared" si="34"/>
        <v/>
      </c>
      <c r="G377" s="24" t="str">
        <f>IF(ISNA(VLOOKUP(F377,Settings!G:H,2,FALSE)),"",VLOOKUP(F377,Settings!G:H,2,FALSE))</f>
        <v/>
      </c>
      <c r="H377" s="25"/>
      <c r="AL377" s="29">
        <f t="shared" si="32"/>
        <v>3</v>
      </c>
      <c r="AM377" s="29"/>
      <c r="AN377" s="29" t="str">
        <f>IF(ISNA(VLOOKUP(AM377,Settings!G:H,2,FALSE)),"",VLOOKUP(AM377,Settings!G:H,2,FALSE))</f>
        <v/>
      </c>
      <c r="AO377" s="30" t="str">
        <f t="shared" si="35"/>
        <v xml:space="preserve">O                                                                        </v>
      </c>
      <c r="AP377" s="29" t="s">
        <v>9</v>
      </c>
    </row>
    <row r="378" spans="2:42">
      <c r="B378" s="24">
        <v>364</v>
      </c>
      <c r="C378" s="24" t="str">
        <f t="shared" si="31"/>
        <v/>
      </c>
      <c r="D378" s="24" t="str">
        <f>IF(ISERROR(VLOOKUP(C378,Settings!A:B,2,FALSE)),C378,VLOOKUP(C378,Settings!A:B,2,FALSE))</f>
        <v/>
      </c>
      <c r="E378" s="30" t="str">
        <f t="shared" si="33"/>
        <v>H</v>
      </c>
      <c r="F378" s="24" t="str">
        <f t="shared" si="34"/>
        <v/>
      </c>
      <c r="G378" s="24" t="str">
        <f>IF(ISNA(VLOOKUP(F378,Settings!G:H,2,FALSE)),"",VLOOKUP(F378,Settings!G:H,2,FALSE))</f>
        <v/>
      </c>
      <c r="H378" s="25"/>
      <c r="AL378" s="29">
        <f t="shared" si="32"/>
        <v>4</v>
      </c>
      <c r="AM378" s="29"/>
      <c r="AN378" s="29" t="str">
        <f>IF(ISNA(VLOOKUP(AM378,Settings!G:H,2,FALSE)),"",VLOOKUP(AM378,Settings!G:H,2,FALSE))</f>
        <v/>
      </c>
      <c r="AO378" s="30" t="str">
        <f t="shared" si="35"/>
        <v xml:space="preserve">O                                                                        </v>
      </c>
      <c r="AP378" s="29" t="s">
        <v>9</v>
      </c>
    </row>
    <row r="379" spans="2:42">
      <c r="B379" s="24">
        <v>365</v>
      </c>
      <c r="C379" s="24" t="str">
        <f t="shared" si="31"/>
        <v/>
      </c>
      <c r="D379" s="24" t="str">
        <f>IF(ISERROR(VLOOKUP(C379,Settings!A:B,2,FALSE)),C379,VLOOKUP(C379,Settings!A:B,2,FALSE))</f>
        <v/>
      </c>
      <c r="E379" s="30" t="str">
        <f t="shared" si="33"/>
        <v>H</v>
      </c>
      <c r="F379" s="24" t="str">
        <f t="shared" si="34"/>
        <v/>
      </c>
      <c r="G379" s="24" t="str">
        <f>IF(ISNA(VLOOKUP(F379,Settings!G:H,2,FALSE)),"",VLOOKUP(F379,Settings!G:H,2,FALSE))</f>
        <v/>
      </c>
      <c r="H379" s="25"/>
      <c r="AL379" s="29">
        <f t="shared" si="32"/>
        <v>5</v>
      </c>
      <c r="AM379" s="29"/>
      <c r="AN379" s="29" t="str">
        <f>IF(ISNA(VLOOKUP(AM379,Settings!G:H,2,FALSE)),"",VLOOKUP(AM379,Settings!G:H,2,FALSE))</f>
        <v/>
      </c>
      <c r="AO379" s="30" t="str">
        <f t="shared" si="35"/>
        <v xml:space="preserve">O                                                                        </v>
      </c>
      <c r="AP379" s="29" t="s">
        <v>9</v>
      </c>
    </row>
    <row r="380" spans="2:42">
      <c r="B380" s="24">
        <v>366</v>
      </c>
      <c r="C380" s="24" t="str">
        <f t="shared" si="31"/>
        <v/>
      </c>
      <c r="D380" s="24" t="str">
        <f>IF(ISERROR(VLOOKUP(C380,Settings!A:B,2,FALSE)),C380,VLOOKUP(C380,Settings!A:B,2,FALSE))</f>
        <v/>
      </c>
      <c r="E380" s="30" t="str">
        <f t="shared" si="33"/>
        <v>H</v>
      </c>
      <c r="F380" s="24" t="str">
        <f t="shared" si="34"/>
        <v/>
      </c>
      <c r="G380" s="24" t="str">
        <f>IF(ISNA(VLOOKUP(F380,Settings!G:H,2,FALSE)),"",VLOOKUP(F380,Settings!G:H,2,FALSE))</f>
        <v/>
      </c>
      <c r="H380" s="25"/>
      <c r="AL380" s="29">
        <f t="shared" si="32"/>
        <v>1</v>
      </c>
      <c r="AM380" s="29"/>
      <c r="AN380" s="29" t="str">
        <f>IF(ISNA(VLOOKUP(AM380,Settings!G:H,2,FALSE)),"",VLOOKUP(AM380,Settings!G:H,2,FALSE))</f>
        <v/>
      </c>
      <c r="AO380" s="30" t="str">
        <f t="shared" si="35"/>
        <v xml:space="preserve">O                                                                         </v>
      </c>
      <c r="AP380" s="29" t="s">
        <v>9</v>
      </c>
    </row>
    <row r="381" spans="2:42">
      <c r="B381" s="24">
        <v>367</v>
      </c>
      <c r="C381" s="24" t="str">
        <f t="shared" si="31"/>
        <v/>
      </c>
      <c r="D381" s="24" t="str">
        <f>IF(ISERROR(VLOOKUP(C381,Settings!A:B,2,FALSE)),C381,VLOOKUP(C381,Settings!A:B,2,FALSE))</f>
        <v/>
      </c>
      <c r="E381" s="30" t="str">
        <f t="shared" si="33"/>
        <v>H</v>
      </c>
      <c r="F381" s="24" t="str">
        <f t="shared" si="34"/>
        <v/>
      </c>
      <c r="G381" s="24" t="str">
        <f>IF(ISNA(VLOOKUP(F381,Settings!G:H,2,FALSE)),"",VLOOKUP(F381,Settings!G:H,2,FALSE))</f>
        <v/>
      </c>
      <c r="H381" s="25"/>
      <c r="AL381" s="29">
        <f t="shared" si="32"/>
        <v>2</v>
      </c>
      <c r="AM381" s="29"/>
      <c r="AN381" s="29" t="str">
        <f>IF(ISNA(VLOOKUP(AM381,Settings!G:H,2,FALSE)),"",VLOOKUP(AM381,Settings!G:H,2,FALSE))</f>
        <v/>
      </c>
      <c r="AO381" s="30" t="str">
        <f t="shared" si="35"/>
        <v xml:space="preserve">O                                                                         </v>
      </c>
      <c r="AP381" s="29" t="s">
        <v>9</v>
      </c>
    </row>
    <row r="382" spans="2:42">
      <c r="B382" s="24">
        <v>368</v>
      </c>
      <c r="C382" s="24" t="str">
        <f t="shared" si="31"/>
        <v/>
      </c>
      <c r="D382" s="24" t="str">
        <f>IF(ISERROR(VLOOKUP(C382,Settings!A:B,2,FALSE)),C382,VLOOKUP(C382,Settings!A:B,2,FALSE))</f>
        <v/>
      </c>
      <c r="E382" s="30" t="str">
        <f t="shared" si="33"/>
        <v>H</v>
      </c>
      <c r="F382" s="24" t="str">
        <f t="shared" si="34"/>
        <v/>
      </c>
      <c r="G382" s="24" t="str">
        <f>IF(ISNA(VLOOKUP(F382,Settings!G:H,2,FALSE)),"",VLOOKUP(F382,Settings!G:H,2,FALSE))</f>
        <v/>
      </c>
      <c r="H382" s="25"/>
      <c r="AL382" s="29">
        <f t="shared" si="32"/>
        <v>3</v>
      </c>
      <c r="AM382" s="29"/>
      <c r="AN382" s="29" t="str">
        <f>IF(ISNA(VLOOKUP(AM382,Settings!G:H,2,FALSE)),"",VLOOKUP(AM382,Settings!G:H,2,FALSE))</f>
        <v/>
      </c>
      <c r="AO382" s="30" t="str">
        <f t="shared" si="35"/>
        <v xml:space="preserve">O                                                                         </v>
      </c>
      <c r="AP382" s="29" t="s">
        <v>9</v>
      </c>
    </row>
    <row r="383" spans="2:42">
      <c r="B383" s="24">
        <v>369</v>
      </c>
      <c r="C383" s="24" t="str">
        <f t="shared" si="31"/>
        <v/>
      </c>
      <c r="D383" s="24" t="str">
        <f>IF(ISERROR(VLOOKUP(C383,Settings!A:B,2,FALSE)),C383,VLOOKUP(C383,Settings!A:B,2,FALSE))</f>
        <v/>
      </c>
      <c r="E383" s="30" t="str">
        <f t="shared" si="33"/>
        <v>H</v>
      </c>
      <c r="F383" s="24" t="str">
        <f t="shared" si="34"/>
        <v/>
      </c>
      <c r="G383" s="24" t="str">
        <f>IF(ISNA(VLOOKUP(F383,Settings!G:H,2,FALSE)),"",VLOOKUP(F383,Settings!G:H,2,FALSE))</f>
        <v/>
      </c>
      <c r="H383" s="25"/>
      <c r="AL383" s="29">
        <f t="shared" si="32"/>
        <v>4</v>
      </c>
      <c r="AM383" s="29"/>
      <c r="AN383" s="29" t="str">
        <f>IF(ISNA(VLOOKUP(AM383,Settings!G:H,2,FALSE)),"",VLOOKUP(AM383,Settings!G:H,2,FALSE))</f>
        <v/>
      </c>
      <c r="AO383" s="30" t="str">
        <f t="shared" si="35"/>
        <v xml:space="preserve">O                                                                         </v>
      </c>
      <c r="AP383" s="29" t="s">
        <v>9</v>
      </c>
    </row>
    <row r="384" spans="2:42">
      <c r="B384" s="24">
        <v>370</v>
      </c>
      <c r="C384" s="24" t="str">
        <f t="shared" si="31"/>
        <v/>
      </c>
      <c r="D384" s="24" t="str">
        <f>IF(ISERROR(VLOOKUP(C384,Settings!A:B,2,FALSE)),C384,VLOOKUP(C384,Settings!A:B,2,FALSE))</f>
        <v/>
      </c>
      <c r="E384" s="30" t="str">
        <f t="shared" si="33"/>
        <v>H</v>
      </c>
      <c r="F384" s="24" t="str">
        <f t="shared" si="34"/>
        <v/>
      </c>
      <c r="G384" s="24" t="str">
        <f>IF(ISNA(VLOOKUP(F384,Settings!G:H,2,FALSE)),"",VLOOKUP(F384,Settings!G:H,2,FALSE))</f>
        <v/>
      </c>
      <c r="H384" s="25"/>
      <c r="AL384" s="29">
        <f t="shared" si="32"/>
        <v>5</v>
      </c>
      <c r="AM384" s="29"/>
      <c r="AN384" s="29" t="str">
        <f>IF(ISNA(VLOOKUP(AM384,Settings!G:H,2,FALSE)),"",VLOOKUP(AM384,Settings!G:H,2,FALSE))</f>
        <v/>
      </c>
      <c r="AO384" s="30" t="str">
        <f t="shared" si="35"/>
        <v xml:space="preserve">O                                                                         </v>
      </c>
      <c r="AP384" s="29" t="s">
        <v>9</v>
      </c>
    </row>
    <row r="385" spans="2:42">
      <c r="B385" s="24">
        <v>371</v>
      </c>
      <c r="C385" s="24" t="str">
        <f t="shared" si="31"/>
        <v/>
      </c>
      <c r="D385" s="24" t="str">
        <f>IF(ISERROR(VLOOKUP(C385,Settings!A:B,2,FALSE)),C385,VLOOKUP(C385,Settings!A:B,2,FALSE))</f>
        <v/>
      </c>
      <c r="E385" s="30" t="str">
        <f t="shared" si="33"/>
        <v>H</v>
      </c>
      <c r="F385" s="24" t="str">
        <f t="shared" si="34"/>
        <v/>
      </c>
      <c r="G385" s="24" t="str">
        <f>IF(ISNA(VLOOKUP(F385,Settings!G:H,2,FALSE)),"",VLOOKUP(F385,Settings!G:H,2,FALSE))</f>
        <v/>
      </c>
      <c r="H385" s="25"/>
      <c r="AL385" s="29">
        <f t="shared" si="32"/>
        <v>1</v>
      </c>
      <c r="AM385" s="29"/>
      <c r="AN385" s="29" t="str">
        <f>IF(ISNA(VLOOKUP(AM385,Settings!G:H,2,FALSE)),"",VLOOKUP(AM385,Settings!G:H,2,FALSE))</f>
        <v/>
      </c>
      <c r="AO385" s="30" t="str">
        <f t="shared" si="35"/>
        <v xml:space="preserve">O                                                                          </v>
      </c>
      <c r="AP385" s="29" t="s">
        <v>9</v>
      </c>
    </row>
    <row r="386" spans="2:42">
      <c r="B386" s="24">
        <v>372</v>
      </c>
      <c r="C386" s="24" t="str">
        <f t="shared" si="31"/>
        <v/>
      </c>
      <c r="D386" s="24" t="str">
        <f>IF(ISERROR(VLOOKUP(C386,Settings!A:B,2,FALSE)),C386,VLOOKUP(C386,Settings!A:B,2,FALSE))</f>
        <v/>
      </c>
      <c r="E386" s="30" t="str">
        <f t="shared" si="33"/>
        <v>H</v>
      </c>
      <c r="F386" s="24" t="str">
        <f t="shared" si="34"/>
        <v/>
      </c>
      <c r="G386" s="24" t="str">
        <f>IF(ISNA(VLOOKUP(F386,Settings!G:H,2,FALSE)),"",VLOOKUP(F386,Settings!G:H,2,FALSE))</f>
        <v/>
      </c>
      <c r="H386" s="25"/>
      <c r="AL386" s="29">
        <f t="shared" si="32"/>
        <v>2</v>
      </c>
      <c r="AM386" s="29"/>
      <c r="AN386" s="29" t="str">
        <f>IF(ISNA(VLOOKUP(AM386,Settings!G:H,2,FALSE)),"",VLOOKUP(AM386,Settings!G:H,2,FALSE))</f>
        <v/>
      </c>
      <c r="AO386" s="30" t="str">
        <f t="shared" si="35"/>
        <v xml:space="preserve">O                                                                          </v>
      </c>
      <c r="AP386" s="29" t="s">
        <v>9</v>
      </c>
    </row>
    <row r="387" spans="2:42">
      <c r="B387" s="24">
        <v>373</v>
      </c>
      <c r="C387" s="24" t="str">
        <f t="shared" si="31"/>
        <v/>
      </c>
      <c r="D387" s="24" t="str">
        <f>IF(ISERROR(VLOOKUP(C387,Settings!A:B,2,FALSE)),C387,VLOOKUP(C387,Settings!A:B,2,FALSE))</f>
        <v/>
      </c>
      <c r="E387" s="30" t="str">
        <f t="shared" si="33"/>
        <v>H</v>
      </c>
      <c r="F387" s="24" t="str">
        <f t="shared" si="34"/>
        <v/>
      </c>
      <c r="G387" s="24" t="str">
        <f>IF(ISNA(VLOOKUP(F387,Settings!G:H,2,FALSE)),"",VLOOKUP(F387,Settings!G:H,2,FALSE))</f>
        <v/>
      </c>
      <c r="H387" s="25"/>
      <c r="AL387" s="29">
        <f t="shared" si="32"/>
        <v>3</v>
      </c>
      <c r="AM387" s="29"/>
      <c r="AN387" s="29" t="str">
        <f>IF(ISNA(VLOOKUP(AM387,Settings!G:H,2,FALSE)),"",VLOOKUP(AM387,Settings!G:H,2,FALSE))</f>
        <v/>
      </c>
      <c r="AO387" s="30" t="str">
        <f t="shared" si="35"/>
        <v xml:space="preserve">O                                                                          </v>
      </c>
      <c r="AP387" s="29" t="s">
        <v>9</v>
      </c>
    </row>
    <row r="388" spans="2:42">
      <c r="B388" s="24">
        <v>374</v>
      </c>
      <c r="C388" s="24" t="str">
        <f t="shared" si="31"/>
        <v/>
      </c>
      <c r="D388" s="24" t="str">
        <f>IF(ISERROR(VLOOKUP(C388,Settings!A:B,2,FALSE)),C388,VLOOKUP(C388,Settings!A:B,2,FALSE))</f>
        <v/>
      </c>
      <c r="E388" s="30" t="str">
        <f t="shared" si="33"/>
        <v>H</v>
      </c>
      <c r="F388" s="24" t="str">
        <f t="shared" si="34"/>
        <v/>
      </c>
      <c r="G388" s="24" t="str">
        <f>IF(ISNA(VLOOKUP(F388,Settings!G:H,2,FALSE)),"",VLOOKUP(F388,Settings!G:H,2,FALSE))</f>
        <v/>
      </c>
      <c r="H388" s="25"/>
      <c r="AL388" s="29">
        <f t="shared" si="32"/>
        <v>4</v>
      </c>
      <c r="AM388" s="29"/>
      <c r="AN388" s="29" t="str">
        <f>IF(ISNA(VLOOKUP(AM388,Settings!G:H,2,FALSE)),"",VLOOKUP(AM388,Settings!G:H,2,FALSE))</f>
        <v/>
      </c>
      <c r="AO388" s="30" t="str">
        <f t="shared" si="35"/>
        <v xml:space="preserve">O                                                                          </v>
      </c>
      <c r="AP388" s="29" t="s">
        <v>9</v>
      </c>
    </row>
    <row r="389" spans="2:42">
      <c r="B389" s="24">
        <v>375</v>
      </c>
      <c r="C389" s="24" t="str">
        <f t="shared" si="31"/>
        <v/>
      </c>
      <c r="D389" s="24" t="str">
        <f>IF(ISERROR(VLOOKUP(C389,Settings!A:B,2,FALSE)),C389,VLOOKUP(C389,Settings!A:B,2,FALSE))</f>
        <v/>
      </c>
      <c r="E389" s="30" t="str">
        <f t="shared" si="33"/>
        <v>H</v>
      </c>
      <c r="F389" s="24" t="str">
        <f t="shared" si="34"/>
        <v/>
      </c>
      <c r="G389" s="24" t="str">
        <f>IF(ISNA(VLOOKUP(F389,Settings!G:H,2,FALSE)),"",VLOOKUP(F389,Settings!G:H,2,FALSE))</f>
        <v/>
      </c>
      <c r="H389" s="25"/>
      <c r="AL389" s="29">
        <f t="shared" si="32"/>
        <v>5</v>
      </c>
      <c r="AM389" s="29"/>
      <c r="AN389" s="29" t="str">
        <f>IF(ISNA(VLOOKUP(AM389,Settings!G:H,2,FALSE)),"",VLOOKUP(AM389,Settings!G:H,2,FALSE))</f>
        <v/>
      </c>
      <c r="AO389" s="30" t="str">
        <f t="shared" si="35"/>
        <v xml:space="preserve">O                                                                          </v>
      </c>
      <c r="AP389" s="29" t="s">
        <v>9</v>
      </c>
    </row>
    <row r="390" spans="2:42">
      <c r="B390" s="24">
        <v>376</v>
      </c>
      <c r="C390" s="24" t="str">
        <f t="shared" si="31"/>
        <v/>
      </c>
      <c r="D390" s="24" t="str">
        <f>IF(ISERROR(VLOOKUP(C390,Settings!A:B,2,FALSE)),C390,VLOOKUP(C390,Settings!A:B,2,FALSE))</f>
        <v/>
      </c>
      <c r="E390" s="30" t="str">
        <f t="shared" si="33"/>
        <v>H</v>
      </c>
      <c r="F390" s="24" t="str">
        <f t="shared" si="34"/>
        <v/>
      </c>
      <c r="G390" s="24" t="str">
        <f>IF(ISNA(VLOOKUP(F390,Settings!G:H,2,FALSE)),"",VLOOKUP(F390,Settings!G:H,2,FALSE))</f>
        <v/>
      </c>
      <c r="H390" s="25"/>
      <c r="AL390" s="29">
        <f t="shared" si="32"/>
        <v>1</v>
      </c>
      <c r="AM390" s="29"/>
      <c r="AN390" s="29" t="str">
        <f>IF(ISNA(VLOOKUP(AM390,Settings!G:H,2,FALSE)),"",VLOOKUP(AM390,Settings!G:H,2,FALSE))</f>
        <v/>
      </c>
      <c r="AO390" s="30" t="str">
        <f t="shared" si="35"/>
        <v xml:space="preserve">O                                                                           </v>
      </c>
      <c r="AP390" s="29" t="s">
        <v>9</v>
      </c>
    </row>
    <row r="391" spans="2:42">
      <c r="B391" s="24">
        <v>377</v>
      </c>
      <c r="C391" s="24" t="str">
        <f t="shared" si="31"/>
        <v/>
      </c>
      <c r="D391" s="24" t="str">
        <f>IF(ISERROR(VLOOKUP(C391,Settings!A:B,2,FALSE)),C391,VLOOKUP(C391,Settings!A:B,2,FALSE))</f>
        <v/>
      </c>
      <c r="E391" s="30" t="str">
        <f t="shared" si="33"/>
        <v>H</v>
      </c>
      <c r="F391" s="24" t="str">
        <f t="shared" si="34"/>
        <v/>
      </c>
      <c r="G391" s="24" t="str">
        <f>IF(ISNA(VLOOKUP(F391,Settings!G:H,2,FALSE)),"",VLOOKUP(F391,Settings!G:H,2,FALSE))</f>
        <v/>
      </c>
      <c r="H391" s="25"/>
      <c r="AL391" s="29">
        <f t="shared" si="32"/>
        <v>2</v>
      </c>
      <c r="AM391" s="29"/>
      <c r="AN391" s="29" t="str">
        <f>IF(ISNA(VLOOKUP(AM391,Settings!G:H,2,FALSE)),"",VLOOKUP(AM391,Settings!G:H,2,FALSE))</f>
        <v/>
      </c>
      <c r="AO391" s="30" t="str">
        <f t="shared" si="35"/>
        <v xml:space="preserve">O                                                                           </v>
      </c>
      <c r="AP391" s="29" t="s">
        <v>9</v>
      </c>
    </row>
    <row r="392" spans="2:42">
      <c r="B392" s="24">
        <v>378</v>
      </c>
      <c r="C392" s="24" t="str">
        <f t="shared" si="31"/>
        <v/>
      </c>
      <c r="D392" s="24" t="str">
        <f>IF(ISERROR(VLOOKUP(C392,Settings!A:B,2,FALSE)),C392,VLOOKUP(C392,Settings!A:B,2,FALSE))</f>
        <v/>
      </c>
      <c r="E392" s="30" t="str">
        <f t="shared" si="33"/>
        <v>H</v>
      </c>
      <c r="F392" s="24" t="str">
        <f t="shared" si="34"/>
        <v/>
      </c>
      <c r="G392" s="24" t="str">
        <f>IF(ISNA(VLOOKUP(F392,Settings!G:H,2,FALSE)),"",VLOOKUP(F392,Settings!G:H,2,FALSE))</f>
        <v/>
      </c>
      <c r="H392" s="25"/>
      <c r="AL392" s="29">
        <f t="shared" si="32"/>
        <v>3</v>
      </c>
      <c r="AM392" s="29"/>
      <c r="AN392" s="29" t="str">
        <f>IF(ISNA(VLOOKUP(AM392,Settings!G:H,2,FALSE)),"",VLOOKUP(AM392,Settings!G:H,2,FALSE))</f>
        <v/>
      </c>
      <c r="AO392" s="30" t="str">
        <f t="shared" si="35"/>
        <v xml:space="preserve">O                                                                           </v>
      </c>
      <c r="AP392" s="29" t="s">
        <v>9</v>
      </c>
    </row>
    <row r="393" spans="2:42">
      <c r="B393" s="24">
        <v>379</v>
      </c>
      <c r="C393" s="24" t="str">
        <f t="shared" si="31"/>
        <v/>
      </c>
      <c r="D393" s="24" t="str">
        <f>IF(ISERROR(VLOOKUP(C393,Settings!A:B,2,FALSE)),C393,VLOOKUP(C393,Settings!A:B,2,FALSE))</f>
        <v/>
      </c>
      <c r="E393" s="30" t="str">
        <f t="shared" si="33"/>
        <v>H</v>
      </c>
      <c r="F393" s="24" t="str">
        <f t="shared" si="34"/>
        <v/>
      </c>
      <c r="G393" s="24" t="str">
        <f>IF(ISNA(VLOOKUP(F393,Settings!G:H,2,FALSE)),"",VLOOKUP(F393,Settings!G:H,2,FALSE))</f>
        <v/>
      </c>
      <c r="H393" s="25"/>
      <c r="AL393" s="29">
        <f t="shared" si="32"/>
        <v>4</v>
      </c>
      <c r="AM393" s="29"/>
      <c r="AN393" s="29" t="str">
        <f>IF(ISNA(VLOOKUP(AM393,Settings!G:H,2,FALSE)),"",VLOOKUP(AM393,Settings!G:H,2,FALSE))</f>
        <v/>
      </c>
      <c r="AO393" s="30" t="str">
        <f t="shared" si="35"/>
        <v xml:space="preserve">O                                                                           </v>
      </c>
      <c r="AP393" s="29" t="s">
        <v>9</v>
      </c>
    </row>
    <row r="394" spans="2:42">
      <c r="B394" s="24">
        <v>380</v>
      </c>
      <c r="C394" s="24" t="str">
        <f t="shared" si="31"/>
        <v/>
      </c>
      <c r="D394" s="24" t="str">
        <f>IF(ISERROR(VLOOKUP(C394,Settings!A:B,2,FALSE)),C394,VLOOKUP(C394,Settings!A:B,2,FALSE))</f>
        <v/>
      </c>
      <c r="E394" s="30" t="str">
        <f t="shared" si="33"/>
        <v>H</v>
      </c>
      <c r="F394" s="24" t="str">
        <f t="shared" si="34"/>
        <v/>
      </c>
      <c r="G394" s="24" t="str">
        <f>IF(ISNA(VLOOKUP(F394,Settings!G:H,2,FALSE)),"",VLOOKUP(F394,Settings!G:H,2,FALSE))</f>
        <v/>
      </c>
      <c r="H394" s="25"/>
      <c r="AL394" s="29">
        <f t="shared" si="32"/>
        <v>5</v>
      </c>
      <c r="AM394" s="29"/>
      <c r="AN394" s="29" t="str">
        <f>IF(ISNA(VLOOKUP(AM394,Settings!G:H,2,FALSE)),"",VLOOKUP(AM394,Settings!G:H,2,FALSE))</f>
        <v/>
      </c>
      <c r="AO394" s="30" t="str">
        <f t="shared" si="35"/>
        <v xml:space="preserve">O                                                                           </v>
      </c>
      <c r="AP394" s="29" t="s">
        <v>9</v>
      </c>
    </row>
    <row r="395" spans="2:42">
      <c r="B395" s="24">
        <v>381</v>
      </c>
      <c r="C395" s="24" t="str">
        <f t="shared" si="31"/>
        <v/>
      </c>
      <c r="D395" s="24" t="str">
        <f>IF(ISERROR(VLOOKUP(C395,Settings!A:B,2,FALSE)),C395,VLOOKUP(C395,Settings!A:B,2,FALSE))</f>
        <v/>
      </c>
      <c r="E395" s="30" t="str">
        <f t="shared" si="33"/>
        <v>H</v>
      </c>
      <c r="F395" s="24" t="str">
        <f t="shared" si="34"/>
        <v/>
      </c>
      <c r="G395" s="24" t="str">
        <f>IF(ISNA(VLOOKUP(F395,Settings!G:H,2,FALSE)),"",VLOOKUP(F395,Settings!G:H,2,FALSE))</f>
        <v/>
      </c>
      <c r="H395" s="25"/>
      <c r="AL395" s="29">
        <f t="shared" si="32"/>
        <v>1</v>
      </c>
      <c r="AM395" s="29"/>
      <c r="AN395" s="29" t="str">
        <f>IF(ISNA(VLOOKUP(AM395,Settings!G:H,2,FALSE)),"",VLOOKUP(AM395,Settings!G:H,2,FALSE))</f>
        <v/>
      </c>
      <c r="AO395" s="30" t="str">
        <f t="shared" si="35"/>
        <v xml:space="preserve">O                                                                            </v>
      </c>
      <c r="AP395" s="29" t="s">
        <v>9</v>
      </c>
    </row>
    <row r="396" spans="2:42">
      <c r="B396" s="24">
        <v>382</v>
      </c>
      <c r="C396" s="24" t="str">
        <f t="shared" si="31"/>
        <v/>
      </c>
      <c r="D396" s="24" t="str">
        <f>IF(ISERROR(VLOOKUP(C396,Settings!A:B,2,FALSE)),C396,VLOOKUP(C396,Settings!A:B,2,FALSE))</f>
        <v/>
      </c>
      <c r="E396" s="30" t="str">
        <f t="shared" si="33"/>
        <v>H</v>
      </c>
      <c r="F396" s="24" t="str">
        <f t="shared" si="34"/>
        <v/>
      </c>
      <c r="G396" s="24" t="str">
        <f>IF(ISNA(VLOOKUP(F396,Settings!G:H,2,FALSE)),"",VLOOKUP(F396,Settings!G:H,2,FALSE))</f>
        <v/>
      </c>
      <c r="H396" s="25"/>
      <c r="AL396" s="29">
        <f t="shared" si="32"/>
        <v>2</v>
      </c>
      <c r="AM396" s="29"/>
      <c r="AN396" s="29" t="str">
        <f>IF(ISNA(VLOOKUP(AM396,Settings!G:H,2,FALSE)),"",VLOOKUP(AM396,Settings!G:H,2,FALSE))</f>
        <v/>
      </c>
      <c r="AO396" s="30" t="str">
        <f t="shared" si="35"/>
        <v xml:space="preserve">O                                                                            </v>
      </c>
      <c r="AP396" s="29" t="s">
        <v>9</v>
      </c>
    </row>
    <row r="397" spans="2:42">
      <c r="B397" s="24">
        <v>383</v>
      </c>
      <c r="C397" s="24" t="str">
        <f t="shared" si="31"/>
        <v/>
      </c>
      <c r="D397" s="24" t="str">
        <f>IF(ISERROR(VLOOKUP(C397,Settings!A:B,2,FALSE)),C397,VLOOKUP(C397,Settings!A:B,2,FALSE))</f>
        <v/>
      </c>
      <c r="E397" s="30" t="str">
        <f t="shared" si="33"/>
        <v>H</v>
      </c>
      <c r="F397" s="24" t="str">
        <f t="shared" si="34"/>
        <v/>
      </c>
      <c r="G397" s="24" t="str">
        <f>IF(ISNA(VLOOKUP(F397,Settings!G:H,2,FALSE)),"",VLOOKUP(F397,Settings!G:H,2,FALSE))</f>
        <v/>
      </c>
      <c r="H397" s="25"/>
      <c r="AL397" s="29">
        <f t="shared" si="32"/>
        <v>3</v>
      </c>
      <c r="AM397" s="29"/>
      <c r="AN397" s="29" t="str">
        <f>IF(ISNA(VLOOKUP(AM397,Settings!G:H,2,FALSE)),"",VLOOKUP(AM397,Settings!G:H,2,FALSE))</f>
        <v/>
      </c>
      <c r="AO397" s="30" t="str">
        <f t="shared" si="35"/>
        <v xml:space="preserve">O                                                                            </v>
      </c>
      <c r="AP397" s="29" t="s">
        <v>9</v>
      </c>
    </row>
    <row r="398" spans="2:42">
      <c r="B398" s="24">
        <v>384</v>
      </c>
      <c r="C398" s="24" t="str">
        <f t="shared" si="31"/>
        <v/>
      </c>
      <c r="D398" s="24" t="str">
        <f>IF(ISERROR(VLOOKUP(C398,Settings!A:B,2,FALSE)),C398,VLOOKUP(C398,Settings!A:B,2,FALSE))</f>
        <v/>
      </c>
      <c r="E398" s="30" t="str">
        <f t="shared" si="33"/>
        <v>H</v>
      </c>
      <c r="F398" s="24" t="str">
        <f t="shared" si="34"/>
        <v/>
      </c>
      <c r="G398" s="24" t="str">
        <f>IF(ISNA(VLOOKUP(F398,Settings!G:H,2,FALSE)),"",VLOOKUP(F398,Settings!G:H,2,FALSE))</f>
        <v/>
      </c>
      <c r="H398" s="25"/>
      <c r="AL398" s="29">
        <f t="shared" si="32"/>
        <v>4</v>
      </c>
      <c r="AM398" s="29"/>
      <c r="AN398" s="29" t="str">
        <f>IF(ISNA(VLOOKUP(AM398,Settings!G:H,2,FALSE)),"",VLOOKUP(AM398,Settings!G:H,2,FALSE))</f>
        <v/>
      </c>
      <c r="AO398" s="30" t="str">
        <f t="shared" si="35"/>
        <v xml:space="preserve">O                                                                            </v>
      </c>
      <c r="AP398" s="29" t="s">
        <v>9</v>
      </c>
    </row>
    <row r="399" spans="2:42">
      <c r="B399" s="24">
        <v>385</v>
      </c>
      <c r="C399" s="24" t="str">
        <f t="shared" si="31"/>
        <v/>
      </c>
      <c r="D399" s="24" t="str">
        <f>IF(ISERROR(VLOOKUP(C399,Settings!A:B,2,FALSE)),C399,VLOOKUP(C399,Settings!A:B,2,FALSE))</f>
        <v/>
      </c>
      <c r="E399" s="30" t="str">
        <f t="shared" si="33"/>
        <v>H</v>
      </c>
      <c r="F399" s="24" t="str">
        <f t="shared" si="34"/>
        <v/>
      </c>
      <c r="G399" s="24" t="str">
        <f>IF(ISNA(VLOOKUP(F399,Settings!G:H,2,FALSE)),"",VLOOKUP(F399,Settings!G:H,2,FALSE))</f>
        <v/>
      </c>
      <c r="H399" s="25"/>
      <c r="AL399" s="29">
        <f t="shared" si="32"/>
        <v>5</v>
      </c>
      <c r="AM399" s="29"/>
      <c r="AN399" s="29" t="str">
        <f>IF(ISNA(VLOOKUP(AM399,Settings!G:H,2,FALSE)),"",VLOOKUP(AM399,Settings!G:H,2,FALSE))</f>
        <v/>
      </c>
      <c r="AO399" s="30" t="str">
        <f t="shared" si="35"/>
        <v xml:space="preserve">O                                                                            </v>
      </c>
      <c r="AP399" s="29" t="s">
        <v>9</v>
      </c>
    </row>
    <row r="400" spans="2:42">
      <c r="B400" s="24">
        <v>386</v>
      </c>
      <c r="C400" s="24" t="str">
        <f t="shared" ref="C400:C463" si="36">MID(Inputtext,B400,1)</f>
        <v/>
      </c>
      <c r="D400" s="24" t="str">
        <f>IF(ISERROR(VLOOKUP(C400,Settings!A:B,2,FALSE)),C400,VLOOKUP(C400,Settings!A:B,2,FALSE))</f>
        <v/>
      </c>
      <c r="E400" s="30" t="str">
        <f t="shared" si="33"/>
        <v>H</v>
      </c>
      <c r="F400" s="24" t="str">
        <f t="shared" si="34"/>
        <v/>
      </c>
      <c r="G400" s="24" t="str">
        <f>IF(ISNA(VLOOKUP(F400,Settings!G:H,2,FALSE)),"",VLOOKUP(F400,Settings!G:H,2,FALSE))</f>
        <v/>
      </c>
      <c r="H400" s="25"/>
      <c r="AL400" s="29">
        <f t="shared" ref="AL400:AL463" si="37">IF(AL399=5,1,AL399+1)</f>
        <v>1</v>
      </c>
      <c r="AM400" s="29"/>
      <c r="AN400" s="29" t="str">
        <f>IF(ISNA(VLOOKUP(AM400,Settings!G:H,2,FALSE)),"",VLOOKUP(AM400,Settings!G:H,2,FALSE))</f>
        <v/>
      </c>
      <c r="AO400" s="30" t="str">
        <f t="shared" si="35"/>
        <v xml:space="preserve">O                                                                             </v>
      </c>
      <c r="AP400" s="29" t="s">
        <v>9</v>
      </c>
    </row>
    <row r="401" spans="2:42">
      <c r="B401" s="24">
        <v>387</v>
      </c>
      <c r="C401" s="24" t="str">
        <f t="shared" si="36"/>
        <v/>
      </c>
      <c r="D401" s="24" t="str">
        <f>IF(ISERROR(VLOOKUP(C401,Settings!A:B,2,FALSE)),C401,VLOOKUP(C401,Settings!A:B,2,FALSE))</f>
        <v/>
      </c>
      <c r="E401" s="30" t="str">
        <f t="shared" ref="E401:E464" si="38">E400&amp;UPPER(D401)</f>
        <v>H</v>
      </c>
      <c r="F401" s="24" t="str">
        <f t="shared" ref="F401:F464" si="39">MID($E$514,B401,1)</f>
        <v/>
      </c>
      <c r="G401" s="24" t="str">
        <f>IF(ISNA(VLOOKUP(F401,Settings!G:H,2,FALSE)),"",VLOOKUP(F401,Settings!G:H,2,FALSE))</f>
        <v/>
      </c>
      <c r="H401" s="25"/>
      <c r="AL401" s="29">
        <f t="shared" si="37"/>
        <v>2</v>
      </c>
      <c r="AM401" s="29"/>
      <c r="AN401" s="29" t="str">
        <f>IF(ISNA(VLOOKUP(AM401,Settings!G:H,2,FALSE)),"",VLOOKUP(AM401,Settings!G:H,2,FALSE))</f>
        <v/>
      </c>
      <c r="AO401" s="30" t="str">
        <f t="shared" ref="AO401:AO464" si="40">IF(AL401=1,AO400&amp;" "&amp;AN401,AO400&amp;AN401)</f>
        <v xml:space="preserve">O                                                                             </v>
      </c>
      <c r="AP401" s="29" t="s">
        <v>9</v>
      </c>
    </row>
    <row r="402" spans="2:42">
      <c r="B402" s="24">
        <v>388</v>
      </c>
      <c r="C402" s="24" t="str">
        <f t="shared" si="36"/>
        <v/>
      </c>
      <c r="D402" s="24" t="str">
        <f>IF(ISERROR(VLOOKUP(C402,Settings!A:B,2,FALSE)),C402,VLOOKUP(C402,Settings!A:B,2,FALSE))</f>
        <v/>
      </c>
      <c r="E402" s="30" t="str">
        <f t="shared" si="38"/>
        <v>H</v>
      </c>
      <c r="F402" s="24" t="str">
        <f t="shared" si="39"/>
        <v/>
      </c>
      <c r="G402" s="24" t="str">
        <f>IF(ISNA(VLOOKUP(F402,Settings!G:H,2,FALSE)),"",VLOOKUP(F402,Settings!G:H,2,FALSE))</f>
        <v/>
      </c>
      <c r="H402" s="25"/>
      <c r="AL402" s="29">
        <f t="shared" si="37"/>
        <v>3</v>
      </c>
      <c r="AM402" s="29"/>
      <c r="AN402" s="29" t="str">
        <f>IF(ISNA(VLOOKUP(AM402,Settings!G:H,2,FALSE)),"",VLOOKUP(AM402,Settings!G:H,2,FALSE))</f>
        <v/>
      </c>
      <c r="AO402" s="30" t="str">
        <f t="shared" si="40"/>
        <v xml:space="preserve">O                                                                             </v>
      </c>
      <c r="AP402" s="29" t="s">
        <v>9</v>
      </c>
    </row>
    <row r="403" spans="2:42">
      <c r="B403" s="24">
        <v>389</v>
      </c>
      <c r="C403" s="24" t="str">
        <f t="shared" si="36"/>
        <v/>
      </c>
      <c r="D403" s="24" t="str">
        <f>IF(ISERROR(VLOOKUP(C403,Settings!A:B,2,FALSE)),C403,VLOOKUP(C403,Settings!A:B,2,FALSE))</f>
        <v/>
      </c>
      <c r="E403" s="30" t="str">
        <f t="shared" si="38"/>
        <v>H</v>
      </c>
      <c r="F403" s="24" t="str">
        <f t="shared" si="39"/>
        <v/>
      </c>
      <c r="G403" s="24" t="str">
        <f>IF(ISNA(VLOOKUP(F403,Settings!G:H,2,FALSE)),"",VLOOKUP(F403,Settings!G:H,2,FALSE))</f>
        <v/>
      </c>
      <c r="H403" s="25"/>
      <c r="AL403" s="29">
        <f t="shared" si="37"/>
        <v>4</v>
      </c>
      <c r="AM403" s="29"/>
      <c r="AN403" s="29" t="str">
        <f>IF(ISNA(VLOOKUP(AM403,Settings!G:H,2,FALSE)),"",VLOOKUP(AM403,Settings!G:H,2,FALSE))</f>
        <v/>
      </c>
      <c r="AO403" s="30" t="str">
        <f t="shared" si="40"/>
        <v xml:space="preserve">O                                                                             </v>
      </c>
      <c r="AP403" s="29" t="s">
        <v>9</v>
      </c>
    </row>
    <row r="404" spans="2:42">
      <c r="B404" s="24">
        <v>390</v>
      </c>
      <c r="C404" s="24" t="str">
        <f t="shared" si="36"/>
        <v/>
      </c>
      <c r="D404" s="24" t="str">
        <f>IF(ISERROR(VLOOKUP(C404,Settings!A:B,2,FALSE)),C404,VLOOKUP(C404,Settings!A:B,2,FALSE))</f>
        <v/>
      </c>
      <c r="E404" s="30" t="str">
        <f t="shared" si="38"/>
        <v>H</v>
      </c>
      <c r="F404" s="24" t="str">
        <f t="shared" si="39"/>
        <v/>
      </c>
      <c r="G404" s="24" t="str">
        <f>IF(ISNA(VLOOKUP(F404,Settings!G:H,2,FALSE)),"",VLOOKUP(F404,Settings!G:H,2,FALSE))</f>
        <v/>
      </c>
      <c r="H404" s="25"/>
      <c r="AL404" s="29">
        <f t="shared" si="37"/>
        <v>5</v>
      </c>
      <c r="AM404" s="29"/>
      <c r="AN404" s="29" t="str">
        <f>IF(ISNA(VLOOKUP(AM404,Settings!G:H,2,FALSE)),"",VLOOKUP(AM404,Settings!G:H,2,FALSE))</f>
        <v/>
      </c>
      <c r="AO404" s="30" t="str">
        <f t="shared" si="40"/>
        <v xml:space="preserve">O                                                                             </v>
      </c>
      <c r="AP404" s="29" t="s">
        <v>9</v>
      </c>
    </row>
    <row r="405" spans="2:42">
      <c r="B405" s="24">
        <v>391</v>
      </c>
      <c r="C405" s="24" t="str">
        <f t="shared" si="36"/>
        <v/>
      </c>
      <c r="D405" s="24" t="str">
        <f>IF(ISERROR(VLOOKUP(C405,Settings!A:B,2,FALSE)),C405,VLOOKUP(C405,Settings!A:B,2,FALSE))</f>
        <v/>
      </c>
      <c r="E405" s="30" t="str">
        <f t="shared" si="38"/>
        <v>H</v>
      </c>
      <c r="F405" s="24" t="str">
        <f t="shared" si="39"/>
        <v/>
      </c>
      <c r="G405" s="24" t="str">
        <f>IF(ISNA(VLOOKUP(F405,Settings!G:H,2,FALSE)),"",VLOOKUP(F405,Settings!G:H,2,FALSE))</f>
        <v/>
      </c>
      <c r="H405" s="25"/>
      <c r="AL405" s="29">
        <f t="shared" si="37"/>
        <v>1</v>
      </c>
      <c r="AM405" s="29"/>
      <c r="AN405" s="29" t="str">
        <f>IF(ISNA(VLOOKUP(AM405,Settings!G:H,2,FALSE)),"",VLOOKUP(AM405,Settings!G:H,2,FALSE))</f>
        <v/>
      </c>
      <c r="AO405" s="30" t="str">
        <f t="shared" si="40"/>
        <v xml:space="preserve">O                                                                              </v>
      </c>
      <c r="AP405" s="29" t="s">
        <v>9</v>
      </c>
    </row>
    <row r="406" spans="2:42">
      <c r="B406" s="24">
        <v>392</v>
      </c>
      <c r="C406" s="24" t="str">
        <f t="shared" si="36"/>
        <v/>
      </c>
      <c r="D406" s="24" t="str">
        <f>IF(ISERROR(VLOOKUP(C406,Settings!A:B,2,FALSE)),C406,VLOOKUP(C406,Settings!A:B,2,FALSE))</f>
        <v/>
      </c>
      <c r="E406" s="30" t="str">
        <f t="shared" si="38"/>
        <v>H</v>
      </c>
      <c r="F406" s="24" t="str">
        <f t="shared" si="39"/>
        <v/>
      </c>
      <c r="G406" s="24" t="str">
        <f>IF(ISNA(VLOOKUP(F406,Settings!G:H,2,FALSE)),"",VLOOKUP(F406,Settings!G:H,2,FALSE))</f>
        <v/>
      </c>
      <c r="H406" s="25"/>
      <c r="AL406" s="29">
        <f t="shared" si="37"/>
        <v>2</v>
      </c>
      <c r="AM406" s="29"/>
      <c r="AN406" s="29" t="str">
        <f>IF(ISNA(VLOOKUP(AM406,Settings!G:H,2,FALSE)),"",VLOOKUP(AM406,Settings!G:H,2,FALSE))</f>
        <v/>
      </c>
      <c r="AO406" s="30" t="str">
        <f t="shared" si="40"/>
        <v xml:space="preserve">O                                                                              </v>
      </c>
      <c r="AP406" s="29" t="s">
        <v>9</v>
      </c>
    </row>
    <row r="407" spans="2:42">
      <c r="B407" s="24">
        <v>393</v>
      </c>
      <c r="C407" s="24" t="str">
        <f t="shared" si="36"/>
        <v/>
      </c>
      <c r="D407" s="24" t="str">
        <f>IF(ISERROR(VLOOKUP(C407,Settings!A:B,2,FALSE)),C407,VLOOKUP(C407,Settings!A:B,2,FALSE))</f>
        <v/>
      </c>
      <c r="E407" s="30" t="str">
        <f t="shared" si="38"/>
        <v>H</v>
      </c>
      <c r="F407" s="24" t="str">
        <f t="shared" si="39"/>
        <v/>
      </c>
      <c r="G407" s="24" t="str">
        <f>IF(ISNA(VLOOKUP(F407,Settings!G:H,2,FALSE)),"",VLOOKUP(F407,Settings!G:H,2,FALSE))</f>
        <v/>
      </c>
      <c r="H407" s="25"/>
      <c r="AL407" s="29">
        <f t="shared" si="37"/>
        <v>3</v>
      </c>
      <c r="AM407" s="29"/>
      <c r="AN407" s="29" t="str">
        <f>IF(ISNA(VLOOKUP(AM407,Settings!G:H,2,FALSE)),"",VLOOKUP(AM407,Settings!G:H,2,FALSE))</f>
        <v/>
      </c>
      <c r="AO407" s="30" t="str">
        <f t="shared" si="40"/>
        <v xml:space="preserve">O                                                                              </v>
      </c>
      <c r="AP407" s="29" t="s">
        <v>9</v>
      </c>
    </row>
    <row r="408" spans="2:42">
      <c r="B408" s="24">
        <v>394</v>
      </c>
      <c r="C408" s="24" t="str">
        <f t="shared" si="36"/>
        <v/>
      </c>
      <c r="D408" s="24" t="str">
        <f>IF(ISERROR(VLOOKUP(C408,Settings!A:B,2,FALSE)),C408,VLOOKUP(C408,Settings!A:B,2,FALSE))</f>
        <v/>
      </c>
      <c r="E408" s="30" t="str">
        <f t="shared" si="38"/>
        <v>H</v>
      </c>
      <c r="F408" s="24" t="str">
        <f t="shared" si="39"/>
        <v/>
      </c>
      <c r="G408" s="24" t="str">
        <f>IF(ISNA(VLOOKUP(F408,Settings!G:H,2,FALSE)),"",VLOOKUP(F408,Settings!G:H,2,FALSE))</f>
        <v/>
      </c>
      <c r="H408" s="25"/>
      <c r="AL408" s="29">
        <f t="shared" si="37"/>
        <v>4</v>
      </c>
      <c r="AM408" s="29"/>
      <c r="AN408" s="29" t="str">
        <f>IF(ISNA(VLOOKUP(AM408,Settings!G:H,2,FALSE)),"",VLOOKUP(AM408,Settings!G:H,2,FALSE))</f>
        <v/>
      </c>
      <c r="AO408" s="30" t="str">
        <f t="shared" si="40"/>
        <v xml:space="preserve">O                                                                              </v>
      </c>
      <c r="AP408" s="29" t="s">
        <v>9</v>
      </c>
    </row>
    <row r="409" spans="2:42">
      <c r="B409" s="24">
        <v>395</v>
      </c>
      <c r="C409" s="24" t="str">
        <f t="shared" si="36"/>
        <v/>
      </c>
      <c r="D409" s="24" t="str">
        <f>IF(ISERROR(VLOOKUP(C409,Settings!A:B,2,FALSE)),C409,VLOOKUP(C409,Settings!A:B,2,FALSE))</f>
        <v/>
      </c>
      <c r="E409" s="30" t="str">
        <f t="shared" si="38"/>
        <v>H</v>
      </c>
      <c r="F409" s="24" t="str">
        <f t="shared" si="39"/>
        <v/>
      </c>
      <c r="G409" s="24" t="str">
        <f>IF(ISNA(VLOOKUP(F409,Settings!G:H,2,FALSE)),"",VLOOKUP(F409,Settings!G:H,2,FALSE))</f>
        <v/>
      </c>
      <c r="H409" s="25"/>
      <c r="AL409" s="29">
        <f t="shared" si="37"/>
        <v>5</v>
      </c>
      <c r="AM409" s="29"/>
      <c r="AN409" s="29" t="str">
        <f>IF(ISNA(VLOOKUP(AM409,Settings!G:H,2,FALSE)),"",VLOOKUP(AM409,Settings!G:H,2,FALSE))</f>
        <v/>
      </c>
      <c r="AO409" s="30" t="str">
        <f t="shared" si="40"/>
        <v xml:space="preserve">O                                                                              </v>
      </c>
      <c r="AP409" s="29" t="s">
        <v>9</v>
      </c>
    </row>
    <row r="410" spans="2:42">
      <c r="B410" s="24">
        <v>396</v>
      </c>
      <c r="C410" s="24" t="str">
        <f t="shared" si="36"/>
        <v/>
      </c>
      <c r="D410" s="24" t="str">
        <f>IF(ISERROR(VLOOKUP(C410,Settings!A:B,2,FALSE)),C410,VLOOKUP(C410,Settings!A:B,2,FALSE))</f>
        <v/>
      </c>
      <c r="E410" s="30" t="str">
        <f t="shared" si="38"/>
        <v>H</v>
      </c>
      <c r="F410" s="24" t="str">
        <f t="shared" si="39"/>
        <v/>
      </c>
      <c r="G410" s="24" t="str">
        <f>IF(ISNA(VLOOKUP(F410,Settings!G:H,2,FALSE)),"",VLOOKUP(F410,Settings!G:H,2,FALSE))</f>
        <v/>
      </c>
      <c r="H410" s="25"/>
      <c r="AL410" s="29">
        <f t="shared" si="37"/>
        <v>1</v>
      </c>
      <c r="AM410" s="29"/>
      <c r="AN410" s="29" t="str">
        <f>IF(ISNA(VLOOKUP(AM410,Settings!G:H,2,FALSE)),"",VLOOKUP(AM410,Settings!G:H,2,FALSE))</f>
        <v/>
      </c>
      <c r="AO410" s="30" t="str">
        <f t="shared" si="40"/>
        <v xml:space="preserve">O                                                                               </v>
      </c>
      <c r="AP410" s="29" t="s">
        <v>9</v>
      </c>
    </row>
    <row r="411" spans="2:42">
      <c r="B411" s="24">
        <v>397</v>
      </c>
      <c r="C411" s="24" t="str">
        <f t="shared" si="36"/>
        <v/>
      </c>
      <c r="D411" s="24" t="str">
        <f>IF(ISERROR(VLOOKUP(C411,Settings!A:B,2,FALSE)),C411,VLOOKUP(C411,Settings!A:B,2,FALSE))</f>
        <v/>
      </c>
      <c r="E411" s="30" t="str">
        <f t="shared" si="38"/>
        <v>H</v>
      </c>
      <c r="F411" s="24" t="str">
        <f t="shared" si="39"/>
        <v/>
      </c>
      <c r="G411" s="24" t="str">
        <f>IF(ISNA(VLOOKUP(F411,Settings!G:H,2,FALSE)),"",VLOOKUP(F411,Settings!G:H,2,FALSE))</f>
        <v/>
      </c>
      <c r="H411" s="25"/>
      <c r="AL411" s="29">
        <f t="shared" si="37"/>
        <v>2</v>
      </c>
      <c r="AM411" s="29"/>
      <c r="AN411" s="29" t="str">
        <f>IF(ISNA(VLOOKUP(AM411,Settings!G:H,2,FALSE)),"",VLOOKUP(AM411,Settings!G:H,2,FALSE))</f>
        <v/>
      </c>
      <c r="AO411" s="30" t="str">
        <f t="shared" si="40"/>
        <v xml:space="preserve">O                                                                               </v>
      </c>
      <c r="AP411" s="29" t="s">
        <v>9</v>
      </c>
    </row>
    <row r="412" spans="2:42">
      <c r="B412" s="24">
        <v>398</v>
      </c>
      <c r="C412" s="24" t="str">
        <f t="shared" si="36"/>
        <v/>
      </c>
      <c r="D412" s="24" t="str">
        <f>IF(ISERROR(VLOOKUP(C412,Settings!A:B,2,FALSE)),C412,VLOOKUP(C412,Settings!A:B,2,FALSE))</f>
        <v/>
      </c>
      <c r="E412" s="30" t="str">
        <f t="shared" si="38"/>
        <v>H</v>
      </c>
      <c r="F412" s="24" t="str">
        <f t="shared" si="39"/>
        <v/>
      </c>
      <c r="G412" s="24" t="str">
        <f>IF(ISNA(VLOOKUP(F412,Settings!G:H,2,FALSE)),"",VLOOKUP(F412,Settings!G:H,2,FALSE))</f>
        <v/>
      </c>
      <c r="H412" s="25"/>
      <c r="AL412" s="29">
        <f t="shared" si="37"/>
        <v>3</v>
      </c>
      <c r="AM412" s="29"/>
      <c r="AN412" s="29" t="str">
        <f>IF(ISNA(VLOOKUP(AM412,Settings!G:H,2,FALSE)),"",VLOOKUP(AM412,Settings!G:H,2,FALSE))</f>
        <v/>
      </c>
      <c r="AO412" s="30" t="str">
        <f t="shared" si="40"/>
        <v xml:space="preserve">O                                                                               </v>
      </c>
      <c r="AP412" s="29" t="s">
        <v>9</v>
      </c>
    </row>
    <row r="413" spans="2:42">
      <c r="B413" s="24">
        <v>399</v>
      </c>
      <c r="C413" s="24" t="str">
        <f t="shared" si="36"/>
        <v/>
      </c>
      <c r="D413" s="24" t="str">
        <f>IF(ISERROR(VLOOKUP(C413,Settings!A:B,2,FALSE)),C413,VLOOKUP(C413,Settings!A:B,2,FALSE))</f>
        <v/>
      </c>
      <c r="E413" s="30" t="str">
        <f t="shared" si="38"/>
        <v>H</v>
      </c>
      <c r="F413" s="24" t="str">
        <f t="shared" si="39"/>
        <v/>
      </c>
      <c r="G413" s="24" t="str">
        <f>IF(ISNA(VLOOKUP(F413,Settings!G:H,2,FALSE)),"",VLOOKUP(F413,Settings!G:H,2,FALSE))</f>
        <v/>
      </c>
      <c r="H413" s="25"/>
      <c r="AL413" s="29">
        <f t="shared" si="37"/>
        <v>4</v>
      </c>
      <c r="AM413" s="29"/>
      <c r="AN413" s="29" t="str">
        <f>IF(ISNA(VLOOKUP(AM413,Settings!G:H,2,FALSE)),"",VLOOKUP(AM413,Settings!G:H,2,FALSE))</f>
        <v/>
      </c>
      <c r="AO413" s="30" t="str">
        <f t="shared" si="40"/>
        <v xml:space="preserve">O                                                                               </v>
      </c>
      <c r="AP413" s="29" t="s">
        <v>9</v>
      </c>
    </row>
    <row r="414" spans="2:42">
      <c r="B414" s="24">
        <v>400</v>
      </c>
      <c r="C414" s="24" t="str">
        <f t="shared" si="36"/>
        <v/>
      </c>
      <c r="D414" s="24" t="str">
        <f>IF(ISERROR(VLOOKUP(C414,Settings!A:B,2,FALSE)),C414,VLOOKUP(C414,Settings!A:B,2,FALSE))</f>
        <v/>
      </c>
      <c r="E414" s="30" t="str">
        <f t="shared" si="38"/>
        <v>H</v>
      </c>
      <c r="F414" s="24" t="str">
        <f t="shared" si="39"/>
        <v/>
      </c>
      <c r="G414" s="24" t="str">
        <f>IF(ISNA(VLOOKUP(F414,Settings!G:H,2,FALSE)),"",VLOOKUP(F414,Settings!G:H,2,FALSE))</f>
        <v/>
      </c>
      <c r="H414" s="25"/>
      <c r="AL414" s="29">
        <f t="shared" si="37"/>
        <v>5</v>
      </c>
      <c r="AM414" s="29"/>
      <c r="AN414" s="29" t="str">
        <f>IF(ISNA(VLOOKUP(AM414,Settings!G:H,2,FALSE)),"",VLOOKUP(AM414,Settings!G:H,2,FALSE))</f>
        <v/>
      </c>
      <c r="AO414" s="30" t="str">
        <f t="shared" si="40"/>
        <v xml:space="preserve">O                                                                               </v>
      </c>
      <c r="AP414" s="29" t="s">
        <v>9</v>
      </c>
    </row>
    <row r="415" spans="2:42">
      <c r="B415" s="24">
        <v>401</v>
      </c>
      <c r="C415" s="24" t="str">
        <f t="shared" si="36"/>
        <v/>
      </c>
      <c r="D415" s="24" t="str">
        <f>IF(ISERROR(VLOOKUP(C415,Settings!A:B,2,FALSE)),C415,VLOOKUP(C415,Settings!A:B,2,FALSE))</f>
        <v/>
      </c>
      <c r="E415" s="30" t="str">
        <f t="shared" si="38"/>
        <v>H</v>
      </c>
      <c r="F415" s="24" t="str">
        <f t="shared" si="39"/>
        <v/>
      </c>
      <c r="G415" s="24" t="str">
        <f>IF(ISNA(VLOOKUP(F415,Settings!G:H,2,FALSE)),"",VLOOKUP(F415,Settings!G:H,2,FALSE))</f>
        <v/>
      </c>
      <c r="H415" s="25"/>
      <c r="AL415" s="29">
        <f t="shared" si="37"/>
        <v>1</v>
      </c>
      <c r="AM415" s="29"/>
      <c r="AN415" s="29" t="str">
        <f>IF(ISNA(VLOOKUP(AM415,Settings!G:H,2,FALSE)),"",VLOOKUP(AM415,Settings!G:H,2,FALSE))</f>
        <v/>
      </c>
      <c r="AO415" s="30" t="str">
        <f t="shared" si="40"/>
        <v xml:space="preserve">O                                                                                </v>
      </c>
      <c r="AP415" s="29" t="s">
        <v>9</v>
      </c>
    </row>
    <row r="416" spans="2:42">
      <c r="B416" s="24">
        <v>402</v>
      </c>
      <c r="C416" s="24" t="str">
        <f t="shared" si="36"/>
        <v/>
      </c>
      <c r="D416" s="24" t="str">
        <f>IF(ISERROR(VLOOKUP(C416,Settings!A:B,2,FALSE)),C416,VLOOKUP(C416,Settings!A:B,2,FALSE))</f>
        <v/>
      </c>
      <c r="E416" s="30" t="str">
        <f t="shared" si="38"/>
        <v>H</v>
      </c>
      <c r="F416" s="24" t="str">
        <f t="shared" si="39"/>
        <v/>
      </c>
      <c r="G416" s="24" t="str">
        <f>IF(ISNA(VLOOKUP(F416,Settings!G:H,2,FALSE)),"",VLOOKUP(F416,Settings!G:H,2,FALSE))</f>
        <v/>
      </c>
      <c r="H416" s="25"/>
      <c r="AL416" s="29">
        <f t="shared" si="37"/>
        <v>2</v>
      </c>
      <c r="AM416" s="29"/>
      <c r="AN416" s="29" t="str">
        <f>IF(ISNA(VLOOKUP(AM416,Settings!G:H,2,FALSE)),"",VLOOKUP(AM416,Settings!G:H,2,FALSE))</f>
        <v/>
      </c>
      <c r="AO416" s="30" t="str">
        <f t="shared" si="40"/>
        <v xml:space="preserve">O                                                                                </v>
      </c>
      <c r="AP416" s="29" t="s">
        <v>9</v>
      </c>
    </row>
    <row r="417" spans="2:42">
      <c r="B417" s="24">
        <v>403</v>
      </c>
      <c r="C417" s="24" t="str">
        <f t="shared" si="36"/>
        <v/>
      </c>
      <c r="D417" s="24" t="str">
        <f>IF(ISERROR(VLOOKUP(C417,Settings!A:B,2,FALSE)),C417,VLOOKUP(C417,Settings!A:B,2,FALSE))</f>
        <v/>
      </c>
      <c r="E417" s="30" t="str">
        <f t="shared" si="38"/>
        <v>H</v>
      </c>
      <c r="F417" s="24" t="str">
        <f t="shared" si="39"/>
        <v/>
      </c>
      <c r="G417" s="24" t="str">
        <f>IF(ISNA(VLOOKUP(F417,Settings!G:H,2,FALSE)),"",VLOOKUP(F417,Settings!G:H,2,FALSE))</f>
        <v/>
      </c>
      <c r="H417" s="25"/>
      <c r="AL417" s="29">
        <f t="shared" si="37"/>
        <v>3</v>
      </c>
      <c r="AM417" s="29"/>
      <c r="AN417" s="29" t="str">
        <f>IF(ISNA(VLOOKUP(AM417,Settings!G:H,2,FALSE)),"",VLOOKUP(AM417,Settings!G:H,2,FALSE))</f>
        <v/>
      </c>
      <c r="AO417" s="30" t="str">
        <f t="shared" si="40"/>
        <v xml:space="preserve">O                                                                                </v>
      </c>
      <c r="AP417" s="29" t="s">
        <v>9</v>
      </c>
    </row>
    <row r="418" spans="2:42">
      <c r="B418" s="24">
        <v>404</v>
      </c>
      <c r="C418" s="24" t="str">
        <f t="shared" si="36"/>
        <v/>
      </c>
      <c r="D418" s="24" t="str">
        <f>IF(ISERROR(VLOOKUP(C418,Settings!A:B,2,FALSE)),C418,VLOOKUP(C418,Settings!A:B,2,FALSE))</f>
        <v/>
      </c>
      <c r="E418" s="30" t="str">
        <f t="shared" si="38"/>
        <v>H</v>
      </c>
      <c r="F418" s="24" t="str">
        <f t="shared" si="39"/>
        <v/>
      </c>
      <c r="G418" s="24" t="str">
        <f>IF(ISNA(VLOOKUP(F418,Settings!G:H,2,FALSE)),"",VLOOKUP(F418,Settings!G:H,2,FALSE))</f>
        <v/>
      </c>
      <c r="H418" s="25"/>
      <c r="AL418" s="29">
        <f t="shared" si="37"/>
        <v>4</v>
      </c>
      <c r="AM418" s="29"/>
      <c r="AN418" s="29" t="str">
        <f>IF(ISNA(VLOOKUP(AM418,Settings!G:H,2,FALSE)),"",VLOOKUP(AM418,Settings!G:H,2,FALSE))</f>
        <v/>
      </c>
      <c r="AO418" s="30" t="str">
        <f t="shared" si="40"/>
        <v xml:space="preserve">O                                                                                </v>
      </c>
      <c r="AP418" s="29" t="s">
        <v>9</v>
      </c>
    </row>
    <row r="419" spans="2:42">
      <c r="B419" s="24">
        <v>405</v>
      </c>
      <c r="C419" s="24" t="str">
        <f t="shared" si="36"/>
        <v/>
      </c>
      <c r="D419" s="24" t="str">
        <f>IF(ISERROR(VLOOKUP(C419,Settings!A:B,2,FALSE)),C419,VLOOKUP(C419,Settings!A:B,2,FALSE))</f>
        <v/>
      </c>
      <c r="E419" s="30" t="str">
        <f t="shared" si="38"/>
        <v>H</v>
      </c>
      <c r="F419" s="24" t="str">
        <f t="shared" si="39"/>
        <v/>
      </c>
      <c r="G419" s="24" t="str">
        <f>IF(ISNA(VLOOKUP(F419,Settings!G:H,2,FALSE)),"",VLOOKUP(F419,Settings!G:H,2,FALSE))</f>
        <v/>
      </c>
      <c r="H419" s="25"/>
      <c r="AL419" s="29">
        <f t="shared" si="37"/>
        <v>5</v>
      </c>
      <c r="AM419" s="29"/>
      <c r="AN419" s="29" t="str">
        <f>IF(ISNA(VLOOKUP(AM419,Settings!G:H,2,FALSE)),"",VLOOKUP(AM419,Settings!G:H,2,FALSE))</f>
        <v/>
      </c>
      <c r="AO419" s="30" t="str">
        <f t="shared" si="40"/>
        <v xml:space="preserve">O                                                                                </v>
      </c>
      <c r="AP419" s="29" t="s">
        <v>9</v>
      </c>
    </row>
    <row r="420" spans="2:42">
      <c r="B420" s="24">
        <v>406</v>
      </c>
      <c r="C420" s="24" t="str">
        <f t="shared" si="36"/>
        <v/>
      </c>
      <c r="D420" s="24" t="str">
        <f>IF(ISERROR(VLOOKUP(C420,Settings!A:B,2,FALSE)),C420,VLOOKUP(C420,Settings!A:B,2,FALSE))</f>
        <v/>
      </c>
      <c r="E420" s="30" t="str">
        <f t="shared" si="38"/>
        <v>H</v>
      </c>
      <c r="F420" s="24" t="str">
        <f t="shared" si="39"/>
        <v/>
      </c>
      <c r="G420" s="24" t="str">
        <f>IF(ISNA(VLOOKUP(F420,Settings!G:H,2,FALSE)),"",VLOOKUP(F420,Settings!G:H,2,FALSE))</f>
        <v/>
      </c>
      <c r="H420" s="25"/>
      <c r="AL420" s="29">
        <f t="shared" si="37"/>
        <v>1</v>
      </c>
      <c r="AM420" s="29"/>
      <c r="AN420" s="29" t="str">
        <f>IF(ISNA(VLOOKUP(AM420,Settings!G:H,2,FALSE)),"",VLOOKUP(AM420,Settings!G:H,2,FALSE))</f>
        <v/>
      </c>
      <c r="AO420" s="30" t="str">
        <f t="shared" si="40"/>
        <v xml:space="preserve">O                                                                                 </v>
      </c>
      <c r="AP420" s="29" t="s">
        <v>9</v>
      </c>
    </row>
    <row r="421" spans="2:42">
      <c r="B421" s="24">
        <v>407</v>
      </c>
      <c r="C421" s="24" t="str">
        <f t="shared" si="36"/>
        <v/>
      </c>
      <c r="D421" s="24" t="str">
        <f>IF(ISERROR(VLOOKUP(C421,Settings!A:B,2,FALSE)),C421,VLOOKUP(C421,Settings!A:B,2,FALSE))</f>
        <v/>
      </c>
      <c r="E421" s="30" t="str">
        <f t="shared" si="38"/>
        <v>H</v>
      </c>
      <c r="F421" s="24" t="str">
        <f t="shared" si="39"/>
        <v/>
      </c>
      <c r="G421" s="24" t="str">
        <f>IF(ISNA(VLOOKUP(F421,Settings!G:H,2,FALSE)),"",VLOOKUP(F421,Settings!G:H,2,FALSE))</f>
        <v/>
      </c>
      <c r="H421" s="25"/>
      <c r="AL421" s="29">
        <f t="shared" si="37"/>
        <v>2</v>
      </c>
      <c r="AM421" s="29"/>
      <c r="AN421" s="29" t="str">
        <f>IF(ISNA(VLOOKUP(AM421,Settings!G:H,2,FALSE)),"",VLOOKUP(AM421,Settings!G:H,2,FALSE))</f>
        <v/>
      </c>
      <c r="AO421" s="30" t="str">
        <f t="shared" si="40"/>
        <v xml:space="preserve">O                                                                                 </v>
      </c>
      <c r="AP421" s="29" t="s">
        <v>9</v>
      </c>
    </row>
    <row r="422" spans="2:42">
      <c r="B422" s="24">
        <v>408</v>
      </c>
      <c r="C422" s="24" t="str">
        <f t="shared" si="36"/>
        <v/>
      </c>
      <c r="D422" s="24" t="str">
        <f>IF(ISERROR(VLOOKUP(C422,Settings!A:B,2,FALSE)),C422,VLOOKUP(C422,Settings!A:B,2,FALSE))</f>
        <v/>
      </c>
      <c r="E422" s="30" t="str">
        <f t="shared" si="38"/>
        <v>H</v>
      </c>
      <c r="F422" s="24" t="str">
        <f t="shared" si="39"/>
        <v/>
      </c>
      <c r="G422" s="24" t="str">
        <f>IF(ISNA(VLOOKUP(F422,Settings!G:H,2,FALSE)),"",VLOOKUP(F422,Settings!G:H,2,FALSE))</f>
        <v/>
      </c>
      <c r="H422" s="25"/>
      <c r="AL422" s="29">
        <f t="shared" si="37"/>
        <v>3</v>
      </c>
      <c r="AM422" s="29"/>
      <c r="AN422" s="29" t="str">
        <f>IF(ISNA(VLOOKUP(AM422,Settings!G:H,2,FALSE)),"",VLOOKUP(AM422,Settings!G:H,2,FALSE))</f>
        <v/>
      </c>
      <c r="AO422" s="30" t="str">
        <f t="shared" si="40"/>
        <v xml:space="preserve">O                                                                                 </v>
      </c>
      <c r="AP422" s="29" t="s">
        <v>9</v>
      </c>
    </row>
    <row r="423" spans="2:42">
      <c r="B423" s="24">
        <v>409</v>
      </c>
      <c r="C423" s="24" t="str">
        <f t="shared" si="36"/>
        <v/>
      </c>
      <c r="D423" s="24" t="str">
        <f>IF(ISERROR(VLOOKUP(C423,Settings!A:B,2,FALSE)),C423,VLOOKUP(C423,Settings!A:B,2,FALSE))</f>
        <v/>
      </c>
      <c r="E423" s="30" t="str">
        <f t="shared" si="38"/>
        <v>H</v>
      </c>
      <c r="F423" s="24" t="str">
        <f t="shared" si="39"/>
        <v/>
      </c>
      <c r="G423" s="24" t="str">
        <f>IF(ISNA(VLOOKUP(F423,Settings!G:H,2,FALSE)),"",VLOOKUP(F423,Settings!G:H,2,FALSE))</f>
        <v/>
      </c>
      <c r="H423" s="25"/>
      <c r="AL423" s="29">
        <f t="shared" si="37"/>
        <v>4</v>
      </c>
      <c r="AM423" s="29"/>
      <c r="AN423" s="29" t="str">
        <f>IF(ISNA(VLOOKUP(AM423,Settings!G:H,2,FALSE)),"",VLOOKUP(AM423,Settings!G:H,2,FALSE))</f>
        <v/>
      </c>
      <c r="AO423" s="30" t="str">
        <f t="shared" si="40"/>
        <v xml:space="preserve">O                                                                                 </v>
      </c>
      <c r="AP423" s="29" t="s">
        <v>9</v>
      </c>
    </row>
    <row r="424" spans="2:42">
      <c r="B424" s="24">
        <v>410</v>
      </c>
      <c r="C424" s="24" t="str">
        <f t="shared" si="36"/>
        <v/>
      </c>
      <c r="D424" s="24" t="str">
        <f>IF(ISERROR(VLOOKUP(C424,Settings!A:B,2,FALSE)),C424,VLOOKUP(C424,Settings!A:B,2,FALSE))</f>
        <v/>
      </c>
      <c r="E424" s="30" t="str">
        <f t="shared" si="38"/>
        <v>H</v>
      </c>
      <c r="F424" s="24" t="str">
        <f t="shared" si="39"/>
        <v/>
      </c>
      <c r="G424" s="24" t="str">
        <f>IF(ISNA(VLOOKUP(F424,Settings!G:H,2,FALSE)),"",VLOOKUP(F424,Settings!G:H,2,FALSE))</f>
        <v/>
      </c>
      <c r="H424" s="25"/>
      <c r="AL424" s="29">
        <f t="shared" si="37"/>
        <v>5</v>
      </c>
      <c r="AM424" s="29"/>
      <c r="AN424" s="29" t="str">
        <f>IF(ISNA(VLOOKUP(AM424,Settings!G:H,2,FALSE)),"",VLOOKUP(AM424,Settings!G:H,2,FALSE))</f>
        <v/>
      </c>
      <c r="AO424" s="30" t="str">
        <f t="shared" si="40"/>
        <v xml:space="preserve">O                                                                                 </v>
      </c>
      <c r="AP424" s="29" t="s">
        <v>9</v>
      </c>
    </row>
    <row r="425" spans="2:42">
      <c r="B425" s="24">
        <v>411</v>
      </c>
      <c r="C425" s="24" t="str">
        <f t="shared" si="36"/>
        <v/>
      </c>
      <c r="D425" s="24" t="str">
        <f>IF(ISERROR(VLOOKUP(C425,Settings!A:B,2,FALSE)),C425,VLOOKUP(C425,Settings!A:B,2,FALSE))</f>
        <v/>
      </c>
      <c r="E425" s="30" t="str">
        <f t="shared" si="38"/>
        <v>H</v>
      </c>
      <c r="F425" s="24" t="str">
        <f t="shared" si="39"/>
        <v/>
      </c>
      <c r="G425" s="24" t="str">
        <f>IF(ISNA(VLOOKUP(F425,Settings!G:H,2,FALSE)),"",VLOOKUP(F425,Settings!G:H,2,FALSE))</f>
        <v/>
      </c>
      <c r="H425" s="25"/>
      <c r="AL425" s="29">
        <f t="shared" si="37"/>
        <v>1</v>
      </c>
      <c r="AM425" s="29"/>
      <c r="AN425" s="29" t="str">
        <f>IF(ISNA(VLOOKUP(AM425,Settings!G:H,2,FALSE)),"",VLOOKUP(AM425,Settings!G:H,2,FALSE))</f>
        <v/>
      </c>
      <c r="AO425" s="30" t="str">
        <f t="shared" si="40"/>
        <v xml:space="preserve">O                                                                                  </v>
      </c>
      <c r="AP425" s="29" t="s">
        <v>9</v>
      </c>
    </row>
    <row r="426" spans="2:42">
      <c r="B426" s="24">
        <v>412</v>
      </c>
      <c r="C426" s="24" t="str">
        <f t="shared" si="36"/>
        <v/>
      </c>
      <c r="D426" s="24" t="str">
        <f>IF(ISERROR(VLOOKUP(C426,Settings!A:B,2,FALSE)),C426,VLOOKUP(C426,Settings!A:B,2,FALSE))</f>
        <v/>
      </c>
      <c r="E426" s="30" t="str">
        <f t="shared" si="38"/>
        <v>H</v>
      </c>
      <c r="F426" s="24" t="str">
        <f t="shared" si="39"/>
        <v/>
      </c>
      <c r="G426" s="24" t="str">
        <f>IF(ISNA(VLOOKUP(F426,Settings!G:H,2,FALSE)),"",VLOOKUP(F426,Settings!G:H,2,FALSE))</f>
        <v/>
      </c>
      <c r="H426" s="25"/>
      <c r="AL426" s="29">
        <f t="shared" si="37"/>
        <v>2</v>
      </c>
      <c r="AM426" s="29"/>
      <c r="AN426" s="29" t="str">
        <f>IF(ISNA(VLOOKUP(AM426,Settings!G:H,2,FALSE)),"",VLOOKUP(AM426,Settings!G:H,2,FALSE))</f>
        <v/>
      </c>
      <c r="AO426" s="30" t="str">
        <f t="shared" si="40"/>
        <v xml:space="preserve">O                                                                                  </v>
      </c>
      <c r="AP426" s="29" t="s">
        <v>9</v>
      </c>
    </row>
    <row r="427" spans="2:42">
      <c r="B427" s="24">
        <v>413</v>
      </c>
      <c r="C427" s="24" t="str">
        <f t="shared" si="36"/>
        <v/>
      </c>
      <c r="D427" s="24" t="str">
        <f>IF(ISERROR(VLOOKUP(C427,Settings!A:B,2,FALSE)),C427,VLOOKUP(C427,Settings!A:B,2,FALSE))</f>
        <v/>
      </c>
      <c r="E427" s="30" t="str">
        <f t="shared" si="38"/>
        <v>H</v>
      </c>
      <c r="F427" s="24" t="str">
        <f t="shared" si="39"/>
        <v/>
      </c>
      <c r="G427" s="24" t="str">
        <f>IF(ISNA(VLOOKUP(F427,Settings!G:H,2,FALSE)),"",VLOOKUP(F427,Settings!G:H,2,FALSE))</f>
        <v/>
      </c>
      <c r="H427" s="25"/>
      <c r="AL427" s="29">
        <f t="shared" si="37"/>
        <v>3</v>
      </c>
      <c r="AM427" s="29"/>
      <c r="AN427" s="29" t="str">
        <f>IF(ISNA(VLOOKUP(AM427,Settings!G:H,2,FALSE)),"",VLOOKUP(AM427,Settings!G:H,2,FALSE))</f>
        <v/>
      </c>
      <c r="AO427" s="30" t="str">
        <f t="shared" si="40"/>
        <v xml:space="preserve">O                                                                                  </v>
      </c>
      <c r="AP427" s="29" t="s">
        <v>9</v>
      </c>
    </row>
    <row r="428" spans="2:42">
      <c r="B428" s="24">
        <v>414</v>
      </c>
      <c r="C428" s="24" t="str">
        <f t="shared" si="36"/>
        <v/>
      </c>
      <c r="D428" s="24" t="str">
        <f>IF(ISERROR(VLOOKUP(C428,Settings!A:B,2,FALSE)),C428,VLOOKUP(C428,Settings!A:B,2,FALSE))</f>
        <v/>
      </c>
      <c r="E428" s="30" t="str">
        <f t="shared" si="38"/>
        <v>H</v>
      </c>
      <c r="F428" s="24" t="str">
        <f t="shared" si="39"/>
        <v/>
      </c>
      <c r="G428" s="24" t="str">
        <f>IF(ISNA(VLOOKUP(F428,Settings!G:H,2,FALSE)),"",VLOOKUP(F428,Settings!G:H,2,FALSE))</f>
        <v/>
      </c>
      <c r="H428" s="25"/>
      <c r="AL428" s="29">
        <f t="shared" si="37"/>
        <v>4</v>
      </c>
      <c r="AM428" s="29"/>
      <c r="AN428" s="29" t="str">
        <f>IF(ISNA(VLOOKUP(AM428,Settings!G:H,2,FALSE)),"",VLOOKUP(AM428,Settings!G:H,2,FALSE))</f>
        <v/>
      </c>
      <c r="AO428" s="30" t="str">
        <f t="shared" si="40"/>
        <v xml:space="preserve">O                                                                                  </v>
      </c>
      <c r="AP428" s="29" t="s">
        <v>9</v>
      </c>
    </row>
    <row r="429" spans="2:42">
      <c r="B429" s="24">
        <v>415</v>
      </c>
      <c r="C429" s="24" t="str">
        <f t="shared" si="36"/>
        <v/>
      </c>
      <c r="D429" s="24" t="str">
        <f>IF(ISERROR(VLOOKUP(C429,Settings!A:B,2,FALSE)),C429,VLOOKUP(C429,Settings!A:B,2,FALSE))</f>
        <v/>
      </c>
      <c r="E429" s="30" t="str">
        <f t="shared" si="38"/>
        <v>H</v>
      </c>
      <c r="F429" s="24" t="str">
        <f t="shared" si="39"/>
        <v/>
      </c>
      <c r="G429" s="24" t="str">
        <f>IF(ISNA(VLOOKUP(F429,Settings!G:H,2,FALSE)),"",VLOOKUP(F429,Settings!G:H,2,FALSE))</f>
        <v/>
      </c>
      <c r="H429" s="25"/>
      <c r="AL429" s="29">
        <f t="shared" si="37"/>
        <v>5</v>
      </c>
      <c r="AM429" s="29"/>
      <c r="AN429" s="29" t="str">
        <f>IF(ISNA(VLOOKUP(AM429,Settings!G:H,2,FALSE)),"",VLOOKUP(AM429,Settings!G:H,2,FALSE))</f>
        <v/>
      </c>
      <c r="AO429" s="30" t="str">
        <f t="shared" si="40"/>
        <v xml:space="preserve">O                                                                                  </v>
      </c>
      <c r="AP429" s="29" t="s">
        <v>9</v>
      </c>
    </row>
    <row r="430" spans="2:42">
      <c r="B430" s="24">
        <v>416</v>
      </c>
      <c r="C430" s="24" t="str">
        <f t="shared" si="36"/>
        <v/>
      </c>
      <c r="D430" s="24" t="str">
        <f>IF(ISERROR(VLOOKUP(C430,Settings!A:B,2,FALSE)),C430,VLOOKUP(C430,Settings!A:B,2,FALSE))</f>
        <v/>
      </c>
      <c r="E430" s="30" t="str">
        <f t="shared" si="38"/>
        <v>H</v>
      </c>
      <c r="F430" s="24" t="str">
        <f t="shared" si="39"/>
        <v/>
      </c>
      <c r="G430" s="24" t="str">
        <f>IF(ISNA(VLOOKUP(F430,Settings!G:H,2,FALSE)),"",VLOOKUP(F430,Settings!G:H,2,FALSE))</f>
        <v/>
      </c>
      <c r="H430" s="25"/>
      <c r="AL430" s="29">
        <f t="shared" si="37"/>
        <v>1</v>
      </c>
      <c r="AM430" s="29"/>
      <c r="AN430" s="29" t="str">
        <f>IF(ISNA(VLOOKUP(AM430,Settings!G:H,2,FALSE)),"",VLOOKUP(AM430,Settings!G:H,2,FALSE))</f>
        <v/>
      </c>
      <c r="AO430" s="30" t="str">
        <f t="shared" si="40"/>
        <v xml:space="preserve">O                                                                                   </v>
      </c>
      <c r="AP430" s="29" t="s">
        <v>9</v>
      </c>
    </row>
    <row r="431" spans="2:42">
      <c r="B431" s="24">
        <v>417</v>
      </c>
      <c r="C431" s="24" t="str">
        <f t="shared" si="36"/>
        <v/>
      </c>
      <c r="D431" s="24" t="str">
        <f>IF(ISERROR(VLOOKUP(C431,Settings!A:B,2,FALSE)),C431,VLOOKUP(C431,Settings!A:B,2,FALSE))</f>
        <v/>
      </c>
      <c r="E431" s="30" t="str">
        <f t="shared" si="38"/>
        <v>H</v>
      </c>
      <c r="F431" s="24" t="str">
        <f t="shared" si="39"/>
        <v/>
      </c>
      <c r="G431" s="24" t="str">
        <f>IF(ISNA(VLOOKUP(F431,Settings!G:H,2,FALSE)),"",VLOOKUP(F431,Settings!G:H,2,FALSE))</f>
        <v/>
      </c>
      <c r="H431" s="25"/>
      <c r="AL431" s="29">
        <f t="shared" si="37"/>
        <v>2</v>
      </c>
      <c r="AM431" s="29"/>
      <c r="AN431" s="29" t="str">
        <f>IF(ISNA(VLOOKUP(AM431,Settings!G:H,2,FALSE)),"",VLOOKUP(AM431,Settings!G:H,2,FALSE))</f>
        <v/>
      </c>
      <c r="AO431" s="30" t="str">
        <f t="shared" si="40"/>
        <v xml:space="preserve">O                                                                                   </v>
      </c>
      <c r="AP431" s="29" t="s">
        <v>9</v>
      </c>
    </row>
    <row r="432" spans="2:42">
      <c r="B432" s="24">
        <v>418</v>
      </c>
      <c r="C432" s="24" t="str">
        <f t="shared" si="36"/>
        <v/>
      </c>
      <c r="D432" s="24" t="str">
        <f>IF(ISERROR(VLOOKUP(C432,Settings!A:B,2,FALSE)),C432,VLOOKUP(C432,Settings!A:B,2,FALSE))</f>
        <v/>
      </c>
      <c r="E432" s="30" t="str">
        <f t="shared" si="38"/>
        <v>H</v>
      </c>
      <c r="F432" s="24" t="str">
        <f t="shared" si="39"/>
        <v/>
      </c>
      <c r="G432" s="24" t="str">
        <f>IF(ISNA(VLOOKUP(F432,Settings!G:H,2,FALSE)),"",VLOOKUP(F432,Settings!G:H,2,FALSE))</f>
        <v/>
      </c>
      <c r="H432" s="25"/>
      <c r="AL432" s="29">
        <f t="shared" si="37"/>
        <v>3</v>
      </c>
      <c r="AM432" s="29"/>
      <c r="AN432" s="29" t="str">
        <f>IF(ISNA(VLOOKUP(AM432,Settings!G:H,2,FALSE)),"",VLOOKUP(AM432,Settings!G:H,2,FALSE))</f>
        <v/>
      </c>
      <c r="AO432" s="30" t="str">
        <f t="shared" si="40"/>
        <v xml:space="preserve">O                                                                                   </v>
      </c>
      <c r="AP432" s="29" t="s">
        <v>9</v>
      </c>
    </row>
    <row r="433" spans="2:42">
      <c r="B433" s="24">
        <v>419</v>
      </c>
      <c r="C433" s="24" t="str">
        <f t="shared" si="36"/>
        <v/>
      </c>
      <c r="D433" s="24" t="str">
        <f>IF(ISERROR(VLOOKUP(C433,Settings!A:B,2,FALSE)),C433,VLOOKUP(C433,Settings!A:B,2,FALSE))</f>
        <v/>
      </c>
      <c r="E433" s="30" t="str">
        <f t="shared" si="38"/>
        <v>H</v>
      </c>
      <c r="F433" s="24" t="str">
        <f t="shared" si="39"/>
        <v/>
      </c>
      <c r="G433" s="24" t="str">
        <f>IF(ISNA(VLOOKUP(F433,Settings!G:H,2,FALSE)),"",VLOOKUP(F433,Settings!G:H,2,FALSE))</f>
        <v/>
      </c>
      <c r="H433" s="25"/>
      <c r="AL433" s="29">
        <f t="shared" si="37"/>
        <v>4</v>
      </c>
      <c r="AM433" s="29"/>
      <c r="AN433" s="29" t="str">
        <f>IF(ISNA(VLOOKUP(AM433,Settings!G:H,2,FALSE)),"",VLOOKUP(AM433,Settings!G:H,2,FALSE))</f>
        <v/>
      </c>
      <c r="AO433" s="30" t="str">
        <f t="shared" si="40"/>
        <v xml:space="preserve">O                                                                                   </v>
      </c>
      <c r="AP433" s="29" t="s">
        <v>9</v>
      </c>
    </row>
    <row r="434" spans="2:42">
      <c r="B434" s="24">
        <v>420</v>
      </c>
      <c r="C434" s="24" t="str">
        <f t="shared" si="36"/>
        <v/>
      </c>
      <c r="D434" s="24" t="str">
        <f>IF(ISERROR(VLOOKUP(C434,Settings!A:B,2,FALSE)),C434,VLOOKUP(C434,Settings!A:B,2,FALSE))</f>
        <v/>
      </c>
      <c r="E434" s="30" t="str">
        <f t="shared" si="38"/>
        <v>H</v>
      </c>
      <c r="F434" s="24" t="str">
        <f t="shared" si="39"/>
        <v/>
      </c>
      <c r="G434" s="24" t="str">
        <f>IF(ISNA(VLOOKUP(F434,Settings!G:H,2,FALSE)),"",VLOOKUP(F434,Settings!G:H,2,FALSE))</f>
        <v/>
      </c>
      <c r="H434" s="25"/>
      <c r="AL434" s="29">
        <f t="shared" si="37"/>
        <v>5</v>
      </c>
      <c r="AM434" s="29"/>
      <c r="AN434" s="29" t="str">
        <f>IF(ISNA(VLOOKUP(AM434,Settings!G:H,2,FALSE)),"",VLOOKUP(AM434,Settings!G:H,2,FALSE))</f>
        <v/>
      </c>
      <c r="AO434" s="30" t="str">
        <f t="shared" si="40"/>
        <v xml:space="preserve">O                                                                                   </v>
      </c>
      <c r="AP434" s="29" t="s">
        <v>9</v>
      </c>
    </row>
    <row r="435" spans="2:42">
      <c r="B435" s="24">
        <v>421</v>
      </c>
      <c r="C435" s="24" t="str">
        <f t="shared" si="36"/>
        <v/>
      </c>
      <c r="D435" s="24" t="str">
        <f>IF(ISERROR(VLOOKUP(C435,Settings!A:B,2,FALSE)),C435,VLOOKUP(C435,Settings!A:B,2,FALSE))</f>
        <v/>
      </c>
      <c r="E435" s="30" t="str">
        <f t="shared" si="38"/>
        <v>H</v>
      </c>
      <c r="F435" s="24" t="str">
        <f t="shared" si="39"/>
        <v/>
      </c>
      <c r="G435" s="24" t="str">
        <f>IF(ISNA(VLOOKUP(F435,Settings!G:H,2,FALSE)),"",VLOOKUP(F435,Settings!G:H,2,FALSE))</f>
        <v/>
      </c>
      <c r="H435" s="25"/>
      <c r="AL435" s="29">
        <f t="shared" si="37"/>
        <v>1</v>
      </c>
      <c r="AM435" s="29"/>
      <c r="AN435" s="29" t="str">
        <f>IF(ISNA(VLOOKUP(AM435,Settings!G:H,2,FALSE)),"",VLOOKUP(AM435,Settings!G:H,2,FALSE))</f>
        <v/>
      </c>
      <c r="AO435" s="30" t="str">
        <f t="shared" si="40"/>
        <v xml:space="preserve">O                                                                                    </v>
      </c>
      <c r="AP435" s="29" t="s">
        <v>9</v>
      </c>
    </row>
    <row r="436" spans="2:42">
      <c r="B436" s="24">
        <v>422</v>
      </c>
      <c r="C436" s="24" t="str">
        <f t="shared" si="36"/>
        <v/>
      </c>
      <c r="D436" s="24" t="str">
        <f>IF(ISERROR(VLOOKUP(C436,Settings!A:B,2,FALSE)),C436,VLOOKUP(C436,Settings!A:B,2,FALSE))</f>
        <v/>
      </c>
      <c r="E436" s="30" t="str">
        <f t="shared" si="38"/>
        <v>H</v>
      </c>
      <c r="F436" s="24" t="str">
        <f t="shared" si="39"/>
        <v/>
      </c>
      <c r="G436" s="24" t="str">
        <f>IF(ISNA(VLOOKUP(F436,Settings!G:H,2,FALSE)),"",VLOOKUP(F436,Settings!G:H,2,FALSE))</f>
        <v/>
      </c>
      <c r="H436" s="25"/>
      <c r="AL436" s="29">
        <f t="shared" si="37"/>
        <v>2</v>
      </c>
      <c r="AM436" s="29"/>
      <c r="AN436" s="29" t="str">
        <f>IF(ISNA(VLOOKUP(AM436,Settings!G:H,2,FALSE)),"",VLOOKUP(AM436,Settings!G:H,2,FALSE))</f>
        <v/>
      </c>
      <c r="AO436" s="30" t="str">
        <f t="shared" si="40"/>
        <v xml:space="preserve">O                                                                                    </v>
      </c>
      <c r="AP436" s="29" t="s">
        <v>9</v>
      </c>
    </row>
    <row r="437" spans="2:42">
      <c r="B437" s="24">
        <v>423</v>
      </c>
      <c r="C437" s="24" t="str">
        <f t="shared" si="36"/>
        <v/>
      </c>
      <c r="D437" s="24" t="str">
        <f>IF(ISERROR(VLOOKUP(C437,Settings!A:B,2,FALSE)),C437,VLOOKUP(C437,Settings!A:B,2,FALSE))</f>
        <v/>
      </c>
      <c r="E437" s="30" t="str">
        <f t="shared" si="38"/>
        <v>H</v>
      </c>
      <c r="F437" s="24" t="str">
        <f t="shared" si="39"/>
        <v/>
      </c>
      <c r="G437" s="24" t="str">
        <f>IF(ISNA(VLOOKUP(F437,Settings!G:H,2,FALSE)),"",VLOOKUP(F437,Settings!G:H,2,FALSE))</f>
        <v/>
      </c>
      <c r="H437" s="25"/>
      <c r="AL437" s="29">
        <f t="shared" si="37"/>
        <v>3</v>
      </c>
      <c r="AM437" s="29"/>
      <c r="AN437" s="29" t="str">
        <f>IF(ISNA(VLOOKUP(AM437,Settings!G:H,2,FALSE)),"",VLOOKUP(AM437,Settings!G:H,2,FALSE))</f>
        <v/>
      </c>
      <c r="AO437" s="30" t="str">
        <f t="shared" si="40"/>
        <v xml:space="preserve">O                                                                                    </v>
      </c>
      <c r="AP437" s="29" t="s">
        <v>9</v>
      </c>
    </row>
    <row r="438" spans="2:42">
      <c r="B438" s="24">
        <v>424</v>
      </c>
      <c r="C438" s="24" t="str">
        <f t="shared" si="36"/>
        <v/>
      </c>
      <c r="D438" s="24" t="str">
        <f>IF(ISERROR(VLOOKUP(C438,Settings!A:B,2,FALSE)),C438,VLOOKUP(C438,Settings!A:B,2,FALSE))</f>
        <v/>
      </c>
      <c r="E438" s="30" t="str">
        <f t="shared" si="38"/>
        <v>H</v>
      </c>
      <c r="F438" s="24" t="str">
        <f t="shared" si="39"/>
        <v/>
      </c>
      <c r="G438" s="24" t="str">
        <f>IF(ISNA(VLOOKUP(F438,Settings!G:H,2,FALSE)),"",VLOOKUP(F438,Settings!G:H,2,FALSE))</f>
        <v/>
      </c>
      <c r="H438" s="25"/>
      <c r="AL438" s="29">
        <f t="shared" si="37"/>
        <v>4</v>
      </c>
      <c r="AM438" s="29"/>
      <c r="AN438" s="29" t="str">
        <f>IF(ISNA(VLOOKUP(AM438,Settings!G:H,2,FALSE)),"",VLOOKUP(AM438,Settings!G:H,2,FALSE))</f>
        <v/>
      </c>
      <c r="AO438" s="30" t="str">
        <f t="shared" si="40"/>
        <v xml:space="preserve">O                                                                                    </v>
      </c>
      <c r="AP438" s="29" t="s">
        <v>9</v>
      </c>
    </row>
    <row r="439" spans="2:42">
      <c r="B439" s="24">
        <v>425</v>
      </c>
      <c r="C439" s="24" t="str">
        <f t="shared" si="36"/>
        <v/>
      </c>
      <c r="D439" s="24" t="str">
        <f>IF(ISERROR(VLOOKUP(C439,Settings!A:B,2,FALSE)),C439,VLOOKUP(C439,Settings!A:B,2,FALSE))</f>
        <v/>
      </c>
      <c r="E439" s="30" t="str">
        <f t="shared" si="38"/>
        <v>H</v>
      </c>
      <c r="F439" s="24" t="str">
        <f t="shared" si="39"/>
        <v/>
      </c>
      <c r="G439" s="24" t="str">
        <f>IF(ISNA(VLOOKUP(F439,Settings!G:H,2,FALSE)),"",VLOOKUP(F439,Settings!G:H,2,FALSE))</f>
        <v/>
      </c>
      <c r="H439" s="25"/>
      <c r="AL439" s="29">
        <f t="shared" si="37"/>
        <v>5</v>
      </c>
      <c r="AM439" s="29"/>
      <c r="AN439" s="29" t="str">
        <f>IF(ISNA(VLOOKUP(AM439,Settings!G:H,2,FALSE)),"",VLOOKUP(AM439,Settings!G:H,2,FALSE))</f>
        <v/>
      </c>
      <c r="AO439" s="30" t="str">
        <f t="shared" si="40"/>
        <v xml:space="preserve">O                                                                                    </v>
      </c>
      <c r="AP439" s="29" t="s">
        <v>9</v>
      </c>
    </row>
    <row r="440" spans="2:42">
      <c r="B440" s="24">
        <v>426</v>
      </c>
      <c r="C440" s="24" t="str">
        <f t="shared" si="36"/>
        <v/>
      </c>
      <c r="D440" s="24" t="str">
        <f>IF(ISERROR(VLOOKUP(C440,Settings!A:B,2,FALSE)),C440,VLOOKUP(C440,Settings!A:B,2,FALSE))</f>
        <v/>
      </c>
      <c r="E440" s="30" t="str">
        <f t="shared" si="38"/>
        <v>H</v>
      </c>
      <c r="F440" s="24" t="str">
        <f t="shared" si="39"/>
        <v/>
      </c>
      <c r="G440" s="24" t="str">
        <f>IF(ISNA(VLOOKUP(F440,Settings!G:H,2,FALSE)),"",VLOOKUP(F440,Settings!G:H,2,FALSE))</f>
        <v/>
      </c>
      <c r="H440" s="25"/>
      <c r="AL440" s="29">
        <f t="shared" si="37"/>
        <v>1</v>
      </c>
      <c r="AM440" s="29"/>
      <c r="AN440" s="29" t="str">
        <f>IF(ISNA(VLOOKUP(AM440,Settings!G:H,2,FALSE)),"",VLOOKUP(AM440,Settings!G:H,2,FALSE))</f>
        <v/>
      </c>
      <c r="AO440" s="30" t="str">
        <f t="shared" si="40"/>
        <v xml:space="preserve">O                                                                                     </v>
      </c>
      <c r="AP440" s="29" t="s">
        <v>9</v>
      </c>
    </row>
    <row r="441" spans="2:42">
      <c r="B441" s="24">
        <v>427</v>
      </c>
      <c r="C441" s="24" t="str">
        <f t="shared" si="36"/>
        <v/>
      </c>
      <c r="D441" s="24" t="str">
        <f>IF(ISERROR(VLOOKUP(C441,Settings!A:B,2,FALSE)),C441,VLOOKUP(C441,Settings!A:B,2,FALSE))</f>
        <v/>
      </c>
      <c r="E441" s="30" t="str">
        <f t="shared" si="38"/>
        <v>H</v>
      </c>
      <c r="F441" s="24" t="str">
        <f t="shared" si="39"/>
        <v/>
      </c>
      <c r="G441" s="24" t="str">
        <f>IF(ISNA(VLOOKUP(F441,Settings!G:H,2,FALSE)),"",VLOOKUP(F441,Settings!G:H,2,FALSE))</f>
        <v/>
      </c>
      <c r="H441" s="25"/>
      <c r="AL441" s="29">
        <f t="shared" si="37"/>
        <v>2</v>
      </c>
      <c r="AM441" s="29"/>
      <c r="AN441" s="29" t="str">
        <f>IF(ISNA(VLOOKUP(AM441,Settings!G:H,2,FALSE)),"",VLOOKUP(AM441,Settings!G:H,2,FALSE))</f>
        <v/>
      </c>
      <c r="AO441" s="30" t="str">
        <f t="shared" si="40"/>
        <v xml:space="preserve">O                                                                                     </v>
      </c>
      <c r="AP441" s="29" t="s">
        <v>9</v>
      </c>
    </row>
    <row r="442" spans="2:42">
      <c r="B442" s="24">
        <v>428</v>
      </c>
      <c r="C442" s="24" t="str">
        <f t="shared" si="36"/>
        <v/>
      </c>
      <c r="D442" s="24" t="str">
        <f>IF(ISERROR(VLOOKUP(C442,Settings!A:B,2,FALSE)),C442,VLOOKUP(C442,Settings!A:B,2,FALSE))</f>
        <v/>
      </c>
      <c r="E442" s="30" t="str">
        <f t="shared" si="38"/>
        <v>H</v>
      </c>
      <c r="F442" s="24" t="str">
        <f t="shared" si="39"/>
        <v/>
      </c>
      <c r="G442" s="24" t="str">
        <f>IF(ISNA(VLOOKUP(F442,Settings!G:H,2,FALSE)),"",VLOOKUP(F442,Settings!G:H,2,FALSE))</f>
        <v/>
      </c>
      <c r="H442" s="25"/>
      <c r="AL442" s="29">
        <f t="shared" si="37"/>
        <v>3</v>
      </c>
      <c r="AM442" s="29"/>
      <c r="AN442" s="29" t="str">
        <f>IF(ISNA(VLOOKUP(AM442,Settings!G:H,2,FALSE)),"",VLOOKUP(AM442,Settings!G:H,2,FALSE))</f>
        <v/>
      </c>
      <c r="AO442" s="30" t="str">
        <f t="shared" si="40"/>
        <v xml:space="preserve">O                                                                                     </v>
      </c>
      <c r="AP442" s="29" t="s">
        <v>9</v>
      </c>
    </row>
    <row r="443" spans="2:42">
      <c r="B443" s="24">
        <v>429</v>
      </c>
      <c r="C443" s="24" t="str">
        <f t="shared" si="36"/>
        <v/>
      </c>
      <c r="D443" s="24" t="str">
        <f>IF(ISERROR(VLOOKUP(C443,Settings!A:B,2,FALSE)),C443,VLOOKUP(C443,Settings!A:B,2,FALSE))</f>
        <v/>
      </c>
      <c r="E443" s="30" t="str">
        <f t="shared" si="38"/>
        <v>H</v>
      </c>
      <c r="F443" s="24" t="str">
        <f t="shared" si="39"/>
        <v/>
      </c>
      <c r="G443" s="24" t="str">
        <f>IF(ISNA(VLOOKUP(F443,Settings!G:H,2,FALSE)),"",VLOOKUP(F443,Settings!G:H,2,FALSE))</f>
        <v/>
      </c>
      <c r="H443" s="25"/>
      <c r="AL443" s="29">
        <f t="shared" si="37"/>
        <v>4</v>
      </c>
      <c r="AM443" s="29"/>
      <c r="AN443" s="29" t="str">
        <f>IF(ISNA(VLOOKUP(AM443,Settings!G:H,2,FALSE)),"",VLOOKUP(AM443,Settings!G:H,2,FALSE))</f>
        <v/>
      </c>
      <c r="AO443" s="30" t="str">
        <f t="shared" si="40"/>
        <v xml:space="preserve">O                                                                                     </v>
      </c>
      <c r="AP443" s="29" t="s">
        <v>9</v>
      </c>
    </row>
    <row r="444" spans="2:42">
      <c r="B444" s="24">
        <v>430</v>
      </c>
      <c r="C444" s="24" t="str">
        <f t="shared" si="36"/>
        <v/>
      </c>
      <c r="D444" s="24" t="str">
        <f>IF(ISERROR(VLOOKUP(C444,Settings!A:B,2,FALSE)),C444,VLOOKUP(C444,Settings!A:B,2,FALSE))</f>
        <v/>
      </c>
      <c r="E444" s="30" t="str">
        <f t="shared" si="38"/>
        <v>H</v>
      </c>
      <c r="F444" s="24" t="str">
        <f t="shared" si="39"/>
        <v/>
      </c>
      <c r="G444" s="24" t="str">
        <f>IF(ISNA(VLOOKUP(F444,Settings!G:H,2,FALSE)),"",VLOOKUP(F444,Settings!G:H,2,FALSE))</f>
        <v/>
      </c>
      <c r="H444" s="25"/>
      <c r="AL444" s="29">
        <f t="shared" si="37"/>
        <v>5</v>
      </c>
      <c r="AM444" s="29"/>
      <c r="AN444" s="29" t="str">
        <f>IF(ISNA(VLOOKUP(AM444,Settings!G:H,2,FALSE)),"",VLOOKUP(AM444,Settings!G:H,2,FALSE))</f>
        <v/>
      </c>
      <c r="AO444" s="30" t="str">
        <f t="shared" si="40"/>
        <v xml:space="preserve">O                                                                                     </v>
      </c>
      <c r="AP444" s="29" t="s">
        <v>9</v>
      </c>
    </row>
    <row r="445" spans="2:42">
      <c r="B445" s="24">
        <v>431</v>
      </c>
      <c r="C445" s="24" t="str">
        <f t="shared" si="36"/>
        <v/>
      </c>
      <c r="D445" s="24" t="str">
        <f>IF(ISERROR(VLOOKUP(C445,Settings!A:B,2,FALSE)),C445,VLOOKUP(C445,Settings!A:B,2,FALSE))</f>
        <v/>
      </c>
      <c r="E445" s="30" t="str">
        <f t="shared" si="38"/>
        <v>H</v>
      </c>
      <c r="F445" s="24" t="str">
        <f t="shared" si="39"/>
        <v/>
      </c>
      <c r="G445" s="24" t="str">
        <f>IF(ISNA(VLOOKUP(F445,Settings!G:H,2,FALSE)),"",VLOOKUP(F445,Settings!G:H,2,FALSE))</f>
        <v/>
      </c>
      <c r="H445" s="25"/>
      <c r="AL445" s="29">
        <f t="shared" si="37"/>
        <v>1</v>
      </c>
      <c r="AM445" s="29"/>
      <c r="AN445" s="29" t="str">
        <f>IF(ISNA(VLOOKUP(AM445,Settings!G:H,2,FALSE)),"",VLOOKUP(AM445,Settings!G:H,2,FALSE))</f>
        <v/>
      </c>
      <c r="AO445" s="30" t="str">
        <f t="shared" si="40"/>
        <v xml:space="preserve">O                                                                                      </v>
      </c>
      <c r="AP445" s="29" t="s">
        <v>9</v>
      </c>
    </row>
    <row r="446" spans="2:42">
      <c r="B446" s="24">
        <v>432</v>
      </c>
      <c r="C446" s="24" t="str">
        <f t="shared" si="36"/>
        <v/>
      </c>
      <c r="D446" s="24" t="str">
        <f>IF(ISERROR(VLOOKUP(C446,Settings!A:B,2,FALSE)),C446,VLOOKUP(C446,Settings!A:B,2,FALSE))</f>
        <v/>
      </c>
      <c r="E446" s="30" t="str">
        <f t="shared" si="38"/>
        <v>H</v>
      </c>
      <c r="F446" s="24" t="str">
        <f t="shared" si="39"/>
        <v/>
      </c>
      <c r="G446" s="24" t="str">
        <f>IF(ISNA(VLOOKUP(F446,Settings!G:H,2,FALSE)),"",VLOOKUP(F446,Settings!G:H,2,FALSE))</f>
        <v/>
      </c>
      <c r="H446" s="25"/>
      <c r="AL446" s="29">
        <f t="shared" si="37"/>
        <v>2</v>
      </c>
      <c r="AM446" s="29"/>
      <c r="AN446" s="29" t="str">
        <f>IF(ISNA(VLOOKUP(AM446,Settings!G:H,2,FALSE)),"",VLOOKUP(AM446,Settings!G:H,2,FALSE))</f>
        <v/>
      </c>
      <c r="AO446" s="30" t="str">
        <f t="shared" si="40"/>
        <v xml:space="preserve">O                                                                                      </v>
      </c>
      <c r="AP446" s="29" t="s">
        <v>9</v>
      </c>
    </row>
    <row r="447" spans="2:42">
      <c r="B447" s="24">
        <v>433</v>
      </c>
      <c r="C447" s="24" t="str">
        <f t="shared" si="36"/>
        <v/>
      </c>
      <c r="D447" s="24" t="str">
        <f>IF(ISERROR(VLOOKUP(C447,Settings!A:B,2,FALSE)),C447,VLOOKUP(C447,Settings!A:B,2,FALSE))</f>
        <v/>
      </c>
      <c r="E447" s="30" t="str">
        <f t="shared" si="38"/>
        <v>H</v>
      </c>
      <c r="F447" s="24" t="str">
        <f t="shared" si="39"/>
        <v/>
      </c>
      <c r="G447" s="24" t="str">
        <f>IF(ISNA(VLOOKUP(F447,Settings!G:H,2,FALSE)),"",VLOOKUP(F447,Settings!G:H,2,FALSE))</f>
        <v/>
      </c>
      <c r="H447" s="25"/>
      <c r="AL447" s="29">
        <f t="shared" si="37"/>
        <v>3</v>
      </c>
      <c r="AM447" s="29"/>
      <c r="AN447" s="29" t="str">
        <f>IF(ISNA(VLOOKUP(AM447,Settings!G:H,2,FALSE)),"",VLOOKUP(AM447,Settings!G:H,2,FALSE))</f>
        <v/>
      </c>
      <c r="AO447" s="30" t="str">
        <f t="shared" si="40"/>
        <v xml:space="preserve">O                                                                                      </v>
      </c>
      <c r="AP447" s="29" t="s">
        <v>9</v>
      </c>
    </row>
    <row r="448" spans="2:42">
      <c r="B448" s="24">
        <v>434</v>
      </c>
      <c r="C448" s="24" t="str">
        <f t="shared" si="36"/>
        <v/>
      </c>
      <c r="D448" s="24" t="str">
        <f>IF(ISERROR(VLOOKUP(C448,Settings!A:B,2,FALSE)),C448,VLOOKUP(C448,Settings!A:B,2,FALSE))</f>
        <v/>
      </c>
      <c r="E448" s="30" t="str">
        <f t="shared" si="38"/>
        <v>H</v>
      </c>
      <c r="F448" s="24" t="str">
        <f t="shared" si="39"/>
        <v/>
      </c>
      <c r="G448" s="24" t="str">
        <f>IF(ISNA(VLOOKUP(F448,Settings!G:H,2,FALSE)),"",VLOOKUP(F448,Settings!G:H,2,FALSE))</f>
        <v/>
      </c>
      <c r="H448" s="25"/>
      <c r="AL448" s="29">
        <f t="shared" si="37"/>
        <v>4</v>
      </c>
      <c r="AM448" s="29"/>
      <c r="AN448" s="29" t="str">
        <f>IF(ISNA(VLOOKUP(AM448,Settings!G:H,2,FALSE)),"",VLOOKUP(AM448,Settings!G:H,2,FALSE))</f>
        <v/>
      </c>
      <c r="AO448" s="30" t="str">
        <f t="shared" si="40"/>
        <v xml:space="preserve">O                                                                                      </v>
      </c>
      <c r="AP448" s="29" t="s">
        <v>9</v>
      </c>
    </row>
    <row r="449" spans="2:42">
      <c r="B449" s="24">
        <v>435</v>
      </c>
      <c r="C449" s="24" t="str">
        <f t="shared" si="36"/>
        <v/>
      </c>
      <c r="D449" s="24" t="str">
        <f>IF(ISERROR(VLOOKUP(C449,Settings!A:B,2,FALSE)),C449,VLOOKUP(C449,Settings!A:B,2,FALSE))</f>
        <v/>
      </c>
      <c r="E449" s="30" t="str">
        <f t="shared" si="38"/>
        <v>H</v>
      </c>
      <c r="F449" s="24" t="str">
        <f t="shared" si="39"/>
        <v/>
      </c>
      <c r="G449" s="24" t="str">
        <f>IF(ISNA(VLOOKUP(F449,Settings!G:H,2,FALSE)),"",VLOOKUP(F449,Settings!G:H,2,FALSE))</f>
        <v/>
      </c>
      <c r="H449" s="25"/>
      <c r="AL449" s="29">
        <f t="shared" si="37"/>
        <v>5</v>
      </c>
      <c r="AM449" s="29"/>
      <c r="AN449" s="29" t="str">
        <f>IF(ISNA(VLOOKUP(AM449,Settings!G:H,2,FALSE)),"",VLOOKUP(AM449,Settings!G:H,2,FALSE))</f>
        <v/>
      </c>
      <c r="AO449" s="30" t="str">
        <f t="shared" si="40"/>
        <v xml:space="preserve">O                                                                                      </v>
      </c>
      <c r="AP449" s="29" t="s">
        <v>9</v>
      </c>
    </row>
    <row r="450" spans="2:42">
      <c r="B450" s="24">
        <v>436</v>
      </c>
      <c r="C450" s="24" t="str">
        <f t="shared" si="36"/>
        <v/>
      </c>
      <c r="D450" s="24" t="str">
        <f>IF(ISERROR(VLOOKUP(C450,Settings!A:B,2,FALSE)),C450,VLOOKUP(C450,Settings!A:B,2,FALSE))</f>
        <v/>
      </c>
      <c r="E450" s="30" t="str">
        <f t="shared" si="38"/>
        <v>H</v>
      </c>
      <c r="F450" s="24" t="str">
        <f t="shared" si="39"/>
        <v/>
      </c>
      <c r="G450" s="24" t="str">
        <f>IF(ISNA(VLOOKUP(F450,Settings!G:H,2,FALSE)),"",VLOOKUP(F450,Settings!G:H,2,FALSE))</f>
        <v/>
      </c>
      <c r="H450" s="25"/>
      <c r="AL450" s="29">
        <f t="shared" si="37"/>
        <v>1</v>
      </c>
      <c r="AM450" s="29"/>
      <c r="AN450" s="29" t="str">
        <f>IF(ISNA(VLOOKUP(AM450,Settings!G:H,2,FALSE)),"",VLOOKUP(AM450,Settings!G:H,2,FALSE))</f>
        <v/>
      </c>
      <c r="AO450" s="30" t="str">
        <f t="shared" si="40"/>
        <v xml:space="preserve">O                                                                                       </v>
      </c>
      <c r="AP450" s="29" t="s">
        <v>9</v>
      </c>
    </row>
    <row r="451" spans="2:42">
      <c r="B451" s="24">
        <v>437</v>
      </c>
      <c r="C451" s="24" t="str">
        <f t="shared" si="36"/>
        <v/>
      </c>
      <c r="D451" s="24" t="str">
        <f>IF(ISERROR(VLOOKUP(C451,Settings!A:B,2,FALSE)),C451,VLOOKUP(C451,Settings!A:B,2,FALSE))</f>
        <v/>
      </c>
      <c r="E451" s="30" t="str">
        <f t="shared" si="38"/>
        <v>H</v>
      </c>
      <c r="F451" s="24" t="str">
        <f t="shared" si="39"/>
        <v/>
      </c>
      <c r="G451" s="24" t="str">
        <f>IF(ISNA(VLOOKUP(F451,Settings!G:H,2,FALSE)),"",VLOOKUP(F451,Settings!G:H,2,FALSE))</f>
        <v/>
      </c>
      <c r="H451" s="25"/>
      <c r="AL451" s="29">
        <f t="shared" si="37"/>
        <v>2</v>
      </c>
      <c r="AM451" s="29"/>
      <c r="AN451" s="29" t="str">
        <f>IF(ISNA(VLOOKUP(AM451,Settings!G:H,2,FALSE)),"",VLOOKUP(AM451,Settings!G:H,2,FALSE))</f>
        <v/>
      </c>
      <c r="AO451" s="30" t="str">
        <f t="shared" si="40"/>
        <v xml:space="preserve">O                                                                                       </v>
      </c>
      <c r="AP451" s="29" t="s">
        <v>9</v>
      </c>
    </row>
    <row r="452" spans="2:42">
      <c r="B452" s="24">
        <v>438</v>
      </c>
      <c r="C452" s="24" t="str">
        <f t="shared" si="36"/>
        <v/>
      </c>
      <c r="D452" s="24" t="str">
        <f>IF(ISERROR(VLOOKUP(C452,Settings!A:B,2,FALSE)),C452,VLOOKUP(C452,Settings!A:B,2,FALSE))</f>
        <v/>
      </c>
      <c r="E452" s="30" t="str">
        <f t="shared" si="38"/>
        <v>H</v>
      </c>
      <c r="F452" s="24" t="str">
        <f t="shared" si="39"/>
        <v/>
      </c>
      <c r="G452" s="24" t="str">
        <f>IF(ISNA(VLOOKUP(F452,Settings!G:H,2,FALSE)),"",VLOOKUP(F452,Settings!G:H,2,FALSE))</f>
        <v/>
      </c>
      <c r="H452" s="25"/>
      <c r="AL452" s="29">
        <f t="shared" si="37"/>
        <v>3</v>
      </c>
      <c r="AM452" s="29"/>
      <c r="AN452" s="29" t="str">
        <f>IF(ISNA(VLOOKUP(AM452,Settings!G:H,2,FALSE)),"",VLOOKUP(AM452,Settings!G:H,2,FALSE))</f>
        <v/>
      </c>
      <c r="AO452" s="30" t="str">
        <f t="shared" si="40"/>
        <v xml:space="preserve">O                                                                                       </v>
      </c>
      <c r="AP452" s="29" t="s">
        <v>9</v>
      </c>
    </row>
    <row r="453" spans="2:42">
      <c r="B453" s="24">
        <v>439</v>
      </c>
      <c r="C453" s="24" t="str">
        <f t="shared" si="36"/>
        <v/>
      </c>
      <c r="D453" s="24" t="str">
        <f>IF(ISERROR(VLOOKUP(C453,Settings!A:B,2,FALSE)),C453,VLOOKUP(C453,Settings!A:B,2,FALSE))</f>
        <v/>
      </c>
      <c r="E453" s="30" t="str">
        <f t="shared" si="38"/>
        <v>H</v>
      </c>
      <c r="F453" s="24" t="str">
        <f t="shared" si="39"/>
        <v/>
      </c>
      <c r="G453" s="24" t="str">
        <f>IF(ISNA(VLOOKUP(F453,Settings!G:H,2,FALSE)),"",VLOOKUP(F453,Settings!G:H,2,FALSE))</f>
        <v/>
      </c>
      <c r="H453" s="25"/>
      <c r="AL453" s="29">
        <f t="shared" si="37"/>
        <v>4</v>
      </c>
      <c r="AM453" s="29"/>
      <c r="AN453" s="29" t="str">
        <f>IF(ISNA(VLOOKUP(AM453,Settings!G:H,2,FALSE)),"",VLOOKUP(AM453,Settings!G:H,2,FALSE))</f>
        <v/>
      </c>
      <c r="AO453" s="30" t="str">
        <f t="shared" si="40"/>
        <v xml:space="preserve">O                                                                                       </v>
      </c>
      <c r="AP453" s="29" t="s">
        <v>9</v>
      </c>
    </row>
    <row r="454" spans="2:42">
      <c r="B454" s="24">
        <v>440</v>
      </c>
      <c r="C454" s="24" t="str">
        <f t="shared" si="36"/>
        <v/>
      </c>
      <c r="D454" s="24" t="str">
        <f>IF(ISERROR(VLOOKUP(C454,Settings!A:B,2,FALSE)),C454,VLOOKUP(C454,Settings!A:B,2,FALSE))</f>
        <v/>
      </c>
      <c r="E454" s="30" t="str">
        <f t="shared" si="38"/>
        <v>H</v>
      </c>
      <c r="F454" s="24" t="str">
        <f t="shared" si="39"/>
        <v/>
      </c>
      <c r="G454" s="24" t="str">
        <f>IF(ISNA(VLOOKUP(F454,Settings!G:H,2,FALSE)),"",VLOOKUP(F454,Settings!G:H,2,FALSE))</f>
        <v/>
      </c>
      <c r="H454" s="25"/>
      <c r="AL454" s="29">
        <f t="shared" si="37"/>
        <v>5</v>
      </c>
      <c r="AM454" s="29"/>
      <c r="AN454" s="29" t="str">
        <f>IF(ISNA(VLOOKUP(AM454,Settings!G:H,2,FALSE)),"",VLOOKUP(AM454,Settings!G:H,2,FALSE))</f>
        <v/>
      </c>
      <c r="AO454" s="30" t="str">
        <f t="shared" si="40"/>
        <v xml:space="preserve">O                                                                                       </v>
      </c>
      <c r="AP454" s="29" t="s">
        <v>9</v>
      </c>
    </row>
    <row r="455" spans="2:42">
      <c r="B455" s="24">
        <v>441</v>
      </c>
      <c r="C455" s="24" t="str">
        <f t="shared" si="36"/>
        <v/>
      </c>
      <c r="D455" s="24" t="str">
        <f>IF(ISERROR(VLOOKUP(C455,Settings!A:B,2,FALSE)),C455,VLOOKUP(C455,Settings!A:B,2,FALSE))</f>
        <v/>
      </c>
      <c r="E455" s="30" t="str">
        <f t="shared" si="38"/>
        <v>H</v>
      </c>
      <c r="F455" s="24" t="str">
        <f t="shared" si="39"/>
        <v/>
      </c>
      <c r="G455" s="24" t="str">
        <f>IF(ISNA(VLOOKUP(F455,Settings!G:H,2,FALSE)),"",VLOOKUP(F455,Settings!G:H,2,FALSE))</f>
        <v/>
      </c>
      <c r="H455" s="25"/>
      <c r="AL455" s="29">
        <f t="shared" si="37"/>
        <v>1</v>
      </c>
      <c r="AM455" s="29"/>
      <c r="AN455" s="29" t="str">
        <f>IF(ISNA(VLOOKUP(AM455,Settings!G:H,2,FALSE)),"",VLOOKUP(AM455,Settings!G:H,2,FALSE))</f>
        <v/>
      </c>
      <c r="AO455" s="30" t="str">
        <f t="shared" si="40"/>
        <v xml:space="preserve">O                                                                                        </v>
      </c>
      <c r="AP455" s="29" t="s">
        <v>9</v>
      </c>
    </row>
    <row r="456" spans="2:42">
      <c r="B456" s="24">
        <v>442</v>
      </c>
      <c r="C456" s="24" t="str">
        <f t="shared" si="36"/>
        <v/>
      </c>
      <c r="D456" s="24" t="str">
        <f>IF(ISERROR(VLOOKUP(C456,Settings!A:B,2,FALSE)),C456,VLOOKUP(C456,Settings!A:B,2,FALSE))</f>
        <v/>
      </c>
      <c r="E456" s="30" t="str">
        <f t="shared" si="38"/>
        <v>H</v>
      </c>
      <c r="F456" s="24" t="str">
        <f t="shared" si="39"/>
        <v/>
      </c>
      <c r="G456" s="24" t="str">
        <f>IF(ISNA(VLOOKUP(F456,Settings!G:H,2,FALSE)),"",VLOOKUP(F456,Settings!G:H,2,FALSE))</f>
        <v/>
      </c>
      <c r="H456" s="25"/>
      <c r="AL456" s="29">
        <f t="shared" si="37"/>
        <v>2</v>
      </c>
      <c r="AM456" s="29"/>
      <c r="AN456" s="29" t="str">
        <f>IF(ISNA(VLOOKUP(AM456,Settings!G:H,2,FALSE)),"",VLOOKUP(AM456,Settings!G:H,2,FALSE))</f>
        <v/>
      </c>
      <c r="AO456" s="30" t="str">
        <f t="shared" si="40"/>
        <v xml:space="preserve">O                                                                                        </v>
      </c>
      <c r="AP456" s="29" t="s">
        <v>9</v>
      </c>
    </row>
    <row r="457" spans="2:42">
      <c r="B457" s="24">
        <v>443</v>
      </c>
      <c r="C457" s="24" t="str">
        <f t="shared" si="36"/>
        <v/>
      </c>
      <c r="D457" s="24" t="str">
        <f>IF(ISERROR(VLOOKUP(C457,Settings!A:B,2,FALSE)),C457,VLOOKUP(C457,Settings!A:B,2,FALSE))</f>
        <v/>
      </c>
      <c r="E457" s="30" t="str">
        <f t="shared" si="38"/>
        <v>H</v>
      </c>
      <c r="F457" s="24" t="str">
        <f t="shared" si="39"/>
        <v/>
      </c>
      <c r="G457" s="24" t="str">
        <f>IF(ISNA(VLOOKUP(F457,Settings!G:H,2,FALSE)),"",VLOOKUP(F457,Settings!G:H,2,FALSE))</f>
        <v/>
      </c>
      <c r="H457" s="25"/>
      <c r="AL457" s="29">
        <f t="shared" si="37"/>
        <v>3</v>
      </c>
      <c r="AM457" s="29"/>
      <c r="AN457" s="29" t="str">
        <f>IF(ISNA(VLOOKUP(AM457,Settings!G:H,2,FALSE)),"",VLOOKUP(AM457,Settings!G:H,2,FALSE))</f>
        <v/>
      </c>
      <c r="AO457" s="30" t="str">
        <f t="shared" si="40"/>
        <v xml:space="preserve">O                                                                                        </v>
      </c>
      <c r="AP457" s="29" t="s">
        <v>9</v>
      </c>
    </row>
    <row r="458" spans="2:42">
      <c r="B458" s="24">
        <v>444</v>
      </c>
      <c r="C458" s="24" t="str">
        <f t="shared" si="36"/>
        <v/>
      </c>
      <c r="D458" s="24" t="str">
        <f>IF(ISERROR(VLOOKUP(C458,Settings!A:B,2,FALSE)),C458,VLOOKUP(C458,Settings!A:B,2,FALSE))</f>
        <v/>
      </c>
      <c r="E458" s="30" t="str">
        <f t="shared" si="38"/>
        <v>H</v>
      </c>
      <c r="F458" s="24" t="str">
        <f t="shared" si="39"/>
        <v/>
      </c>
      <c r="G458" s="24" t="str">
        <f>IF(ISNA(VLOOKUP(F458,Settings!G:H,2,FALSE)),"",VLOOKUP(F458,Settings!G:H,2,FALSE))</f>
        <v/>
      </c>
      <c r="H458" s="25"/>
      <c r="AL458" s="29">
        <f t="shared" si="37"/>
        <v>4</v>
      </c>
      <c r="AM458" s="29"/>
      <c r="AN458" s="29" t="str">
        <f>IF(ISNA(VLOOKUP(AM458,Settings!G:H,2,FALSE)),"",VLOOKUP(AM458,Settings!G:H,2,FALSE))</f>
        <v/>
      </c>
      <c r="AO458" s="30" t="str">
        <f t="shared" si="40"/>
        <v xml:space="preserve">O                                                                                        </v>
      </c>
      <c r="AP458" s="29" t="s">
        <v>9</v>
      </c>
    </row>
    <row r="459" spans="2:42">
      <c r="B459" s="24">
        <v>445</v>
      </c>
      <c r="C459" s="24" t="str">
        <f t="shared" si="36"/>
        <v/>
      </c>
      <c r="D459" s="24" t="str">
        <f>IF(ISERROR(VLOOKUP(C459,Settings!A:B,2,FALSE)),C459,VLOOKUP(C459,Settings!A:B,2,FALSE))</f>
        <v/>
      </c>
      <c r="E459" s="30" t="str">
        <f t="shared" si="38"/>
        <v>H</v>
      </c>
      <c r="F459" s="24" t="str">
        <f t="shared" si="39"/>
        <v/>
      </c>
      <c r="G459" s="24" t="str">
        <f>IF(ISNA(VLOOKUP(F459,Settings!G:H,2,FALSE)),"",VLOOKUP(F459,Settings!G:H,2,FALSE))</f>
        <v/>
      </c>
      <c r="H459" s="25"/>
      <c r="AL459" s="29">
        <f t="shared" si="37"/>
        <v>5</v>
      </c>
      <c r="AM459" s="29"/>
      <c r="AN459" s="29" t="str">
        <f>IF(ISNA(VLOOKUP(AM459,Settings!G:H,2,FALSE)),"",VLOOKUP(AM459,Settings!G:H,2,FALSE))</f>
        <v/>
      </c>
      <c r="AO459" s="30" t="str">
        <f t="shared" si="40"/>
        <v xml:space="preserve">O                                                                                        </v>
      </c>
      <c r="AP459" s="29" t="s">
        <v>9</v>
      </c>
    </row>
    <row r="460" spans="2:42">
      <c r="B460" s="24">
        <v>446</v>
      </c>
      <c r="C460" s="24" t="str">
        <f t="shared" si="36"/>
        <v/>
      </c>
      <c r="D460" s="24" t="str">
        <f>IF(ISERROR(VLOOKUP(C460,Settings!A:B,2,FALSE)),C460,VLOOKUP(C460,Settings!A:B,2,FALSE))</f>
        <v/>
      </c>
      <c r="E460" s="30" t="str">
        <f t="shared" si="38"/>
        <v>H</v>
      </c>
      <c r="F460" s="24" t="str">
        <f t="shared" si="39"/>
        <v/>
      </c>
      <c r="G460" s="24" t="str">
        <f>IF(ISNA(VLOOKUP(F460,Settings!G:H,2,FALSE)),"",VLOOKUP(F460,Settings!G:H,2,FALSE))</f>
        <v/>
      </c>
      <c r="H460" s="25"/>
      <c r="AL460" s="29">
        <f t="shared" si="37"/>
        <v>1</v>
      </c>
      <c r="AM460" s="29"/>
      <c r="AN460" s="29" t="str">
        <f>IF(ISNA(VLOOKUP(AM460,Settings!G:H,2,FALSE)),"",VLOOKUP(AM460,Settings!G:H,2,FALSE))</f>
        <v/>
      </c>
      <c r="AO460" s="30" t="str">
        <f t="shared" si="40"/>
        <v xml:space="preserve">O                                                                                         </v>
      </c>
      <c r="AP460" s="29" t="s">
        <v>9</v>
      </c>
    </row>
    <row r="461" spans="2:42">
      <c r="B461" s="24">
        <v>447</v>
      </c>
      <c r="C461" s="24" t="str">
        <f t="shared" si="36"/>
        <v/>
      </c>
      <c r="D461" s="24" t="str">
        <f>IF(ISERROR(VLOOKUP(C461,Settings!A:B,2,FALSE)),C461,VLOOKUP(C461,Settings!A:B,2,FALSE))</f>
        <v/>
      </c>
      <c r="E461" s="30" t="str">
        <f t="shared" si="38"/>
        <v>H</v>
      </c>
      <c r="F461" s="24" t="str">
        <f t="shared" si="39"/>
        <v/>
      </c>
      <c r="G461" s="24" t="str">
        <f>IF(ISNA(VLOOKUP(F461,Settings!G:H,2,FALSE)),"",VLOOKUP(F461,Settings!G:H,2,FALSE))</f>
        <v/>
      </c>
      <c r="H461" s="25"/>
      <c r="AL461" s="29">
        <f t="shared" si="37"/>
        <v>2</v>
      </c>
      <c r="AM461" s="29"/>
      <c r="AN461" s="29" t="str">
        <f>IF(ISNA(VLOOKUP(AM461,Settings!G:H,2,FALSE)),"",VLOOKUP(AM461,Settings!G:H,2,FALSE))</f>
        <v/>
      </c>
      <c r="AO461" s="30" t="str">
        <f t="shared" si="40"/>
        <v xml:space="preserve">O                                                                                         </v>
      </c>
      <c r="AP461" s="29" t="s">
        <v>9</v>
      </c>
    </row>
    <row r="462" spans="2:42">
      <c r="B462" s="24">
        <v>448</v>
      </c>
      <c r="C462" s="24" t="str">
        <f t="shared" si="36"/>
        <v/>
      </c>
      <c r="D462" s="24" t="str">
        <f>IF(ISERROR(VLOOKUP(C462,Settings!A:B,2,FALSE)),C462,VLOOKUP(C462,Settings!A:B,2,FALSE))</f>
        <v/>
      </c>
      <c r="E462" s="30" t="str">
        <f t="shared" si="38"/>
        <v>H</v>
      </c>
      <c r="F462" s="24" t="str">
        <f t="shared" si="39"/>
        <v/>
      </c>
      <c r="G462" s="24" t="str">
        <f>IF(ISNA(VLOOKUP(F462,Settings!G:H,2,FALSE)),"",VLOOKUP(F462,Settings!G:H,2,FALSE))</f>
        <v/>
      </c>
      <c r="H462" s="25"/>
      <c r="AL462" s="29">
        <f t="shared" si="37"/>
        <v>3</v>
      </c>
      <c r="AM462" s="29"/>
      <c r="AN462" s="29" t="str">
        <f>IF(ISNA(VLOOKUP(AM462,Settings!G:H,2,FALSE)),"",VLOOKUP(AM462,Settings!G:H,2,FALSE))</f>
        <v/>
      </c>
      <c r="AO462" s="30" t="str">
        <f t="shared" si="40"/>
        <v xml:space="preserve">O                                                                                         </v>
      </c>
      <c r="AP462" s="29" t="s">
        <v>9</v>
      </c>
    </row>
    <row r="463" spans="2:42">
      <c r="B463" s="24">
        <v>449</v>
      </c>
      <c r="C463" s="24" t="str">
        <f t="shared" si="36"/>
        <v/>
      </c>
      <c r="D463" s="24" t="str">
        <f>IF(ISERROR(VLOOKUP(C463,Settings!A:B,2,FALSE)),C463,VLOOKUP(C463,Settings!A:B,2,FALSE))</f>
        <v/>
      </c>
      <c r="E463" s="30" t="str">
        <f t="shared" si="38"/>
        <v>H</v>
      </c>
      <c r="F463" s="24" t="str">
        <f t="shared" si="39"/>
        <v/>
      </c>
      <c r="G463" s="24" t="str">
        <f>IF(ISNA(VLOOKUP(F463,Settings!G:H,2,FALSE)),"",VLOOKUP(F463,Settings!G:H,2,FALSE))</f>
        <v/>
      </c>
      <c r="H463" s="25"/>
      <c r="AL463" s="29">
        <f t="shared" si="37"/>
        <v>4</v>
      </c>
      <c r="AM463" s="29"/>
      <c r="AN463" s="29" t="str">
        <f>IF(ISNA(VLOOKUP(AM463,Settings!G:H,2,FALSE)),"",VLOOKUP(AM463,Settings!G:H,2,FALSE))</f>
        <v/>
      </c>
      <c r="AO463" s="30" t="str">
        <f t="shared" si="40"/>
        <v xml:space="preserve">O                                                                                         </v>
      </c>
      <c r="AP463" s="29" t="s">
        <v>9</v>
      </c>
    </row>
    <row r="464" spans="2:42">
      <c r="B464" s="24">
        <v>450</v>
      </c>
      <c r="C464" s="24" t="str">
        <f t="shared" ref="C464:C514" si="41">MID(Inputtext,B464,1)</f>
        <v/>
      </c>
      <c r="D464" s="24" t="str">
        <f>IF(ISERROR(VLOOKUP(C464,Settings!A:B,2,FALSE)),C464,VLOOKUP(C464,Settings!A:B,2,FALSE))</f>
        <v/>
      </c>
      <c r="E464" s="30" t="str">
        <f t="shared" si="38"/>
        <v>H</v>
      </c>
      <c r="F464" s="24" t="str">
        <f t="shared" si="39"/>
        <v/>
      </c>
      <c r="G464" s="24" t="str">
        <f>IF(ISNA(VLOOKUP(F464,Settings!G:H,2,FALSE)),"",VLOOKUP(F464,Settings!G:H,2,FALSE))</f>
        <v/>
      </c>
      <c r="H464" s="25"/>
      <c r="AL464" s="29">
        <f t="shared" ref="AL464:AL514" si="42">IF(AL463=5,1,AL463+1)</f>
        <v>5</v>
      </c>
      <c r="AM464" s="29"/>
      <c r="AN464" s="29" t="str">
        <f>IF(ISNA(VLOOKUP(AM464,Settings!G:H,2,FALSE)),"",VLOOKUP(AM464,Settings!G:H,2,FALSE))</f>
        <v/>
      </c>
      <c r="AO464" s="30" t="str">
        <f t="shared" si="40"/>
        <v xml:space="preserve">O                                                                                         </v>
      </c>
      <c r="AP464" s="29" t="s">
        <v>9</v>
      </c>
    </row>
    <row r="465" spans="2:42">
      <c r="B465" s="24">
        <v>451</v>
      </c>
      <c r="C465" s="24" t="str">
        <f t="shared" si="41"/>
        <v/>
      </c>
      <c r="D465" s="24" t="str">
        <f>IF(ISERROR(VLOOKUP(C465,Settings!A:B,2,FALSE)),C465,VLOOKUP(C465,Settings!A:B,2,FALSE))</f>
        <v/>
      </c>
      <c r="E465" s="30" t="str">
        <f t="shared" ref="E465:E514" si="43">E464&amp;UPPER(D465)</f>
        <v>H</v>
      </c>
      <c r="F465" s="24" t="str">
        <f t="shared" ref="F465:F514" si="44">MID($E$514,B465,1)</f>
        <v/>
      </c>
      <c r="G465" s="24" t="str">
        <f>IF(ISNA(VLOOKUP(F465,Settings!G:H,2,FALSE)),"",VLOOKUP(F465,Settings!G:H,2,FALSE))</f>
        <v/>
      </c>
      <c r="H465" s="25"/>
      <c r="AL465" s="29">
        <f t="shared" si="42"/>
        <v>1</v>
      </c>
      <c r="AM465" s="29"/>
      <c r="AN465" s="29" t="str">
        <f>IF(ISNA(VLOOKUP(AM465,Settings!G:H,2,FALSE)),"",VLOOKUP(AM465,Settings!G:H,2,FALSE))</f>
        <v/>
      </c>
      <c r="AO465" s="30" t="str">
        <f t="shared" ref="AO465:AO514" si="45">IF(AL465=1,AO464&amp;" "&amp;AN465,AO464&amp;AN465)</f>
        <v xml:space="preserve">O                                                                                          </v>
      </c>
      <c r="AP465" s="29" t="s">
        <v>9</v>
      </c>
    </row>
    <row r="466" spans="2:42">
      <c r="B466" s="24">
        <v>452</v>
      </c>
      <c r="C466" s="24" t="str">
        <f t="shared" si="41"/>
        <v/>
      </c>
      <c r="D466" s="24" t="str">
        <f>IF(ISERROR(VLOOKUP(C466,Settings!A:B,2,FALSE)),C466,VLOOKUP(C466,Settings!A:B,2,FALSE))</f>
        <v/>
      </c>
      <c r="E466" s="30" t="str">
        <f t="shared" si="43"/>
        <v>H</v>
      </c>
      <c r="F466" s="24" t="str">
        <f t="shared" si="44"/>
        <v/>
      </c>
      <c r="G466" s="24" t="str">
        <f>IF(ISNA(VLOOKUP(F466,Settings!G:H,2,FALSE)),"",VLOOKUP(F466,Settings!G:H,2,FALSE))</f>
        <v/>
      </c>
      <c r="H466" s="25"/>
      <c r="AL466" s="29">
        <f t="shared" si="42"/>
        <v>2</v>
      </c>
      <c r="AM466" s="29"/>
      <c r="AN466" s="29" t="str">
        <f>IF(ISNA(VLOOKUP(AM466,Settings!G:H,2,FALSE)),"",VLOOKUP(AM466,Settings!G:H,2,FALSE))</f>
        <v/>
      </c>
      <c r="AO466" s="30" t="str">
        <f t="shared" si="45"/>
        <v xml:space="preserve">O                                                                                          </v>
      </c>
      <c r="AP466" s="29" t="s">
        <v>9</v>
      </c>
    </row>
    <row r="467" spans="2:42">
      <c r="B467" s="24">
        <v>453</v>
      </c>
      <c r="C467" s="24" t="str">
        <f t="shared" si="41"/>
        <v/>
      </c>
      <c r="D467" s="24" t="str">
        <f>IF(ISERROR(VLOOKUP(C467,Settings!A:B,2,FALSE)),C467,VLOOKUP(C467,Settings!A:B,2,FALSE))</f>
        <v/>
      </c>
      <c r="E467" s="30" t="str">
        <f t="shared" si="43"/>
        <v>H</v>
      </c>
      <c r="F467" s="24" t="str">
        <f t="shared" si="44"/>
        <v/>
      </c>
      <c r="G467" s="24" t="str">
        <f>IF(ISNA(VLOOKUP(F467,Settings!G:H,2,FALSE)),"",VLOOKUP(F467,Settings!G:H,2,FALSE))</f>
        <v/>
      </c>
      <c r="H467" s="25"/>
      <c r="AL467" s="29">
        <f t="shared" si="42"/>
        <v>3</v>
      </c>
      <c r="AM467" s="29"/>
      <c r="AN467" s="29" t="str">
        <f>IF(ISNA(VLOOKUP(AM467,Settings!G:H,2,FALSE)),"",VLOOKUP(AM467,Settings!G:H,2,FALSE))</f>
        <v/>
      </c>
      <c r="AO467" s="30" t="str">
        <f t="shared" si="45"/>
        <v xml:space="preserve">O                                                                                          </v>
      </c>
      <c r="AP467" s="29" t="s">
        <v>9</v>
      </c>
    </row>
    <row r="468" spans="2:42">
      <c r="B468" s="24">
        <v>454</v>
      </c>
      <c r="C468" s="24" t="str">
        <f t="shared" si="41"/>
        <v/>
      </c>
      <c r="D468" s="24" t="str">
        <f>IF(ISERROR(VLOOKUP(C468,Settings!A:B,2,FALSE)),C468,VLOOKUP(C468,Settings!A:B,2,FALSE))</f>
        <v/>
      </c>
      <c r="E468" s="30" t="str">
        <f t="shared" si="43"/>
        <v>H</v>
      </c>
      <c r="F468" s="24" t="str">
        <f t="shared" si="44"/>
        <v/>
      </c>
      <c r="G468" s="24" t="str">
        <f>IF(ISNA(VLOOKUP(F468,Settings!G:H,2,FALSE)),"",VLOOKUP(F468,Settings!G:H,2,FALSE))</f>
        <v/>
      </c>
      <c r="H468" s="25"/>
      <c r="AL468" s="29">
        <f t="shared" si="42"/>
        <v>4</v>
      </c>
      <c r="AM468" s="29"/>
      <c r="AN468" s="29" t="str">
        <f>IF(ISNA(VLOOKUP(AM468,Settings!G:H,2,FALSE)),"",VLOOKUP(AM468,Settings!G:H,2,FALSE))</f>
        <v/>
      </c>
      <c r="AO468" s="30" t="str">
        <f t="shared" si="45"/>
        <v xml:space="preserve">O                                                                                          </v>
      </c>
      <c r="AP468" s="29" t="s">
        <v>9</v>
      </c>
    </row>
    <row r="469" spans="2:42">
      <c r="B469" s="24">
        <v>455</v>
      </c>
      <c r="C469" s="24" t="str">
        <f t="shared" si="41"/>
        <v/>
      </c>
      <c r="D469" s="24" t="str">
        <f>IF(ISERROR(VLOOKUP(C469,Settings!A:B,2,FALSE)),C469,VLOOKUP(C469,Settings!A:B,2,FALSE))</f>
        <v/>
      </c>
      <c r="E469" s="30" t="str">
        <f t="shared" si="43"/>
        <v>H</v>
      </c>
      <c r="F469" s="24" t="str">
        <f t="shared" si="44"/>
        <v/>
      </c>
      <c r="G469" s="24" t="str">
        <f>IF(ISNA(VLOOKUP(F469,Settings!G:H,2,FALSE)),"",VLOOKUP(F469,Settings!G:H,2,FALSE))</f>
        <v/>
      </c>
      <c r="H469" s="25"/>
      <c r="AL469" s="29">
        <f t="shared" si="42"/>
        <v>5</v>
      </c>
      <c r="AM469" s="29"/>
      <c r="AN469" s="29" t="str">
        <f>IF(ISNA(VLOOKUP(AM469,Settings!G:H,2,FALSE)),"",VLOOKUP(AM469,Settings!G:H,2,FALSE))</f>
        <v/>
      </c>
      <c r="AO469" s="30" t="str">
        <f t="shared" si="45"/>
        <v xml:space="preserve">O                                                                                          </v>
      </c>
      <c r="AP469" s="29" t="s">
        <v>9</v>
      </c>
    </row>
    <row r="470" spans="2:42">
      <c r="B470" s="24">
        <v>456</v>
      </c>
      <c r="C470" s="24" t="str">
        <f t="shared" si="41"/>
        <v/>
      </c>
      <c r="D470" s="24" t="str">
        <f>IF(ISERROR(VLOOKUP(C470,Settings!A:B,2,FALSE)),C470,VLOOKUP(C470,Settings!A:B,2,FALSE))</f>
        <v/>
      </c>
      <c r="E470" s="30" t="str">
        <f t="shared" si="43"/>
        <v>H</v>
      </c>
      <c r="F470" s="24" t="str">
        <f t="shared" si="44"/>
        <v/>
      </c>
      <c r="G470" s="24" t="str">
        <f>IF(ISNA(VLOOKUP(F470,Settings!G:H,2,FALSE)),"",VLOOKUP(F470,Settings!G:H,2,FALSE))</f>
        <v/>
      </c>
      <c r="H470" s="25"/>
      <c r="AL470" s="29">
        <f t="shared" si="42"/>
        <v>1</v>
      </c>
      <c r="AM470" s="29"/>
      <c r="AN470" s="29" t="str">
        <f>IF(ISNA(VLOOKUP(AM470,Settings!G:H,2,FALSE)),"",VLOOKUP(AM470,Settings!G:H,2,FALSE))</f>
        <v/>
      </c>
      <c r="AO470" s="30" t="str">
        <f t="shared" si="45"/>
        <v xml:space="preserve">O                                                                                           </v>
      </c>
      <c r="AP470" s="29" t="s">
        <v>9</v>
      </c>
    </row>
    <row r="471" spans="2:42">
      <c r="B471" s="24">
        <v>457</v>
      </c>
      <c r="C471" s="24" t="str">
        <f t="shared" si="41"/>
        <v/>
      </c>
      <c r="D471" s="24" t="str">
        <f>IF(ISERROR(VLOOKUP(C471,Settings!A:B,2,FALSE)),C471,VLOOKUP(C471,Settings!A:B,2,FALSE))</f>
        <v/>
      </c>
      <c r="E471" s="30" t="str">
        <f t="shared" si="43"/>
        <v>H</v>
      </c>
      <c r="F471" s="24" t="str">
        <f t="shared" si="44"/>
        <v/>
      </c>
      <c r="G471" s="24" t="str">
        <f>IF(ISNA(VLOOKUP(F471,Settings!G:H,2,FALSE)),"",VLOOKUP(F471,Settings!G:H,2,FALSE))</f>
        <v/>
      </c>
      <c r="H471" s="25"/>
      <c r="AL471" s="29">
        <f t="shared" si="42"/>
        <v>2</v>
      </c>
      <c r="AM471" s="29"/>
      <c r="AN471" s="29" t="str">
        <f>IF(ISNA(VLOOKUP(AM471,Settings!G:H,2,FALSE)),"",VLOOKUP(AM471,Settings!G:H,2,FALSE))</f>
        <v/>
      </c>
      <c r="AO471" s="30" t="str">
        <f t="shared" si="45"/>
        <v xml:space="preserve">O                                                                                           </v>
      </c>
      <c r="AP471" s="29" t="s">
        <v>9</v>
      </c>
    </row>
    <row r="472" spans="2:42">
      <c r="B472" s="24">
        <v>458</v>
      </c>
      <c r="C472" s="24" t="str">
        <f t="shared" si="41"/>
        <v/>
      </c>
      <c r="D472" s="24" t="str">
        <f>IF(ISERROR(VLOOKUP(C472,Settings!A:B,2,FALSE)),C472,VLOOKUP(C472,Settings!A:B,2,FALSE))</f>
        <v/>
      </c>
      <c r="E472" s="30" t="str">
        <f t="shared" si="43"/>
        <v>H</v>
      </c>
      <c r="F472" s="24" t="str">
        <f t="shared" si="44"/>
        <v/>
      </c>
      <c r="G472" s="24" t="str">
        <f>IF(ISNA(VLOOKUP(F472,Settings!G:H,2,FALSE)),"",VLOOKUP(F472,Settings!G:H,2,FALSE))</f>
        <v/>
      </c>
      <c r="H472" s="25"/>
      <c r="AL472" s="29">
        <f t="shared" si="42"/>
        <v>3</v>
      </c>
      <c r="AM472" s="29"/>
      <c r="AN472" s="29" t="str">
        <f>IF(ISNA(VLOOKUP(AM472,Settings!G:H,2,FALSE)),"",VLOOKUP(AM472,Settings!G:H,2,FALSE))</f>
        <v/>
      </c>
      <c r="AO472" s="30" t="str">
        <f t="shared" si="45"/>
        <v xml:space="preserve">O                                                                                           </v>
      </c>
      <c r="AP472" s="29" t="s">
        <v>9</v>
      </c>
    </row>
    <row r="473" spans="2:42">
      <c r="B473" s="24">
        <v>459</v>
      </c>
      <c r="C473" s="24" t="str">
        <f t="shared" si="41"/>
        <v/>
      </c>
      <c r="D473" s="24" t="str">
        <f>IF(ISERROR(VLOOKUP(C473,Settings!A:B,2,FALSE)),C473,VLOOKUP(C473,Settings!A:B,2,FALSE))</f>
        <v/>
      </c>
      <c r="E473" s="30" t="str">
        <f t="shared" si="43"/>
        <v>H</v>
      </c>
      <c r="F473" s="24" t="str">
        <f t="shared" si="44"/>
        <v/>
      </c>
      <c r="G473" s="24" t="str">
        <f>IF(ISNA(VLOOKUP(F473,Settings!G:H,2,FALSE)),"",VLOOKUP(F473,Settings!G:H,2,FALSE))</f>
        <v/>
      </c>
      <c r="H473" s="25"/>
      <c r="AL473" s="29">
        <f t="shared" si="42"/>
        <v>4</v>
      </c>
      <c r="AM473" s="29"/>
      <c r="AN473" s="29" t="str">
        <f>IF(ISNA(VLOOKUP(AM473,Settings!G:H,2,FALSE)),"",VLOOKUP(AM473,Settings!G:H,2,FALSE))</f>
        <v/>
      </c>
      <c r="AO473" s="30" t="str">
        <f t="shared" si="45"/>
        <v xml:space="preserve">O                                                                                           </v>
      </c>
      <c r="AP473" s="29" t="s">
        <v>9</v>
      </c>
    </row>
    <row r="474" spans="2:42">
      <c r="B474" s="24">
        <v>460</v>
      </c>
      <c r="C474" s="24" t="str">
        <f t="shared" si="41"/>
        <v/>
      </c>
      <c r="D474" s="24" t="str">
        <f>IF(ISERROR(VLOOKUP(C474,Settings!A:B,2,FALSE)),C474,VLOOKUP(C474,Settings!A:B,2,FALSE))</f>
        <v/>
      </c>
      <c r="E474" s="30" t="str">
        <f t="shared" si="43"/>
        <v>H</v>
      </c>
      <c r="F474" s="24" t="str">
        <f t="shared" si="44"/>
        <v/>
      </c>
      <c r="G474" s="24" t="str">
        <f>IF(ISNA(VLOOKUP(F474,Settings!G:H,2,FALSE)),"",VLOOKUP(F474,Settings!G:H,2,FALSE))</f>
        <v/>
      </c>
      <c r="H474" s="25"/>
      <c r="AL474" s="29">
        <f t="shared" si="42"/>
        <v>5</v>
      </c>
      <c r="AM474" s="29"/>
      <c r="AN474" s="29" t="str">
        <f>IF(ISNA(VLOOKUP(AM474,Settings!G:H,2,FALSE)),"",VLOOKUP(AM474,Settings!G:H,2,FALSE))</f>
        <v/>
      </c>
      <c r="AO474" s="30" t="str">
        <f t="shared" si="45"/>
        <v xml:space="preserve">O                                                                                           </v>
      </c>
      <c r="AP474" s="29" t="s">
        <v>9</v>
      </c>
    </row>
    <row r="475" spans="2:42">
      <c r="B475" s="24">
        <v>461</v>
      </c>
      <c r="C475" s="24" t="str">
        <f t="shared" si="41"/>
        <v/>
      </c>
      <c r="D475" s="24" t="str">
        <f>IF(ISERROR(VLOOKUP(C475,Settings!A:B,2,FALSE)),C475,VLOOKUP(C475,Settings!A:B,2,FALSE))</f>
        <v/>
      </c>
      <c r="E475" s="30" t="str">
        <f t="shared" si="43"/>
        <v>H</v>
      </c>
      <c r="F475" s="24" t="str">
        <f t="shared" si="44"/>
        <v/>
      </c>
      <c r="G475" s="24" t="str">
        <f>IF(ISNA(VLOOKUP(F475,Settings!G:H,2,FALSE)),"",VLOOKUP(F475,Settings!G:H,2,FALSE))</f>
        <v/>
      </c>
      <c r="H475" s="25"/>
      <c r="AL475" s="29">
        <f t="shared" si="42"/>
        <v>1</v>
      </c>
      <c r="AM475" s="29"/>
      <c r="AN475" s="29" t="str">
        <f>IF(ISNA(VLOOKUP(AM475,Settings!G:H,2,FALSE)),"",VLOOKUP(AM475,Settings!G:H,2,FALSE))</f>
        <v/>
      </c>
      <c r="AO475" s="30" t="str">
        <f t="shared" si="45"/>
        <v xml:space="preserve">O                                                                                            </v>
      </c>
      <c r="AP475" s="29" t="s">
        <v>9</v>
      </c>
    </row>
    <row r="476" spans="2:42">
      <c r="B476" s="24">
        <v>462</v>
      </c>
      <c r="C476" s="24" t="str">
        <f t="shared" si="41"/>
        <v/>
      </c>
      <c r="D476" s="24" t="str">
        <f>IF(ISERROR(VLOOKUP(C476,Settings!A:B,2,FALSE)),C476,VLOOKUP(C476,Settings!A:B,2,FALSE))</f>
        <v/>
      </c>
      <c r="E476" s="30" t="str">
        <f t="shared" si="43"/>
        <v>H</v>
      </c>
      <c r="F476" s="24" t="str">
        <f t="shared" si="44"/>
        <v/>
      </c>
      <c r="G476" s="24" t="str">
        <f>IF(ISNA(VLOOKUP(F476,Settings!G:H,2,FALSE)),"",VLOOKUP(F476,Settings!G:H,2,FALSE))</f>
        <v/>
      </c>
      <c r="H476" s="25"/>
      <c r="AL476" s="29">
        <f t="shared" si="42"/>
        <v>2</v>
      </c>
      <c r="AM476" s="29"/>
      <c r="AN476" s="29" t="str">
        <f>IF(ISNA(VLOOKUP(AM476,Settings!G:H,2,FALSE)),"",VLOOKUP(AM476,Settings!G:H,2,FALSE))</f>
        <v/>
      </c>
      <c r="AO476" s="30" t="str">
        <f t="shared" si="45"/>
        <v xml:space="preserve">O                                                                                            </v>
      </c>
      <c r="AP476" s="29" t="s">
        <v>9</v>
      </c>
    </row>
    <row r="477" spans="2:42">
      <c r="B477" s="24">
        <v>463</v>
      </c>
      <c r="C477" s="24" t="str">
        <f t="shared" si="41"/>
        <v/>
      </c>
      <c r="D477" s="24" t="str">
        <f>IF(ISERROR(VLOOKUP(C477,Settings!A:B,2,FALSE)),C477,VLOOKUP(C477,Settings!A:B,2,FALSE))</f>
        <v/>
      </c>
      <c r="E477" s="30" t="str">
        <f t="shared" si="43"/>
        <v>H</v>
      </c>
      <c r="F477" s="24" t="str">
        <f t="shared" si="44"/>
        <v/>
      </c>
      <c r="G477" s="24" t="str">
        <f>IF(ISNA(VLOOKUP(F477,Settings!G:H,2,FALSE)),"",VLOOKUP(F477,Settings!G:H,2,FALSE))</f>
        <v/>
      </c>
      <c r="H477" s="25"/>
      <c r="AL477" s="29">
        <f t="shared" si="42"/>
        <v>3</v>
      </c>
      <c r="AM477" s="29"/>
      <c r="AN477" s="29" t="str">
        <f>IF(ISNA(VLOOKUP(AM477,Settings!G:H,2,FALSE)),"",VLOOKUP(AM477,Settings!G:H,2,FALSE))</f>
        <v/>
      </c>
      <c r="AO477" s="30" t="str">
        <f t="shared" si="45"/>
        <v xml:space="preserve">O                                                                                            </v>
      </c>
      <c r="AP477" s="29" t="s">
        <v>9</v>
      </c>
    </row>
    <row r="478" spans="2:42">
      <c r="B478" s="24">
        <v>464</v>
      </c>
      <c r="C478" s="24" t="str">
        <f t="shared" si="41"/>
        <v/>
      </c>
      <c r="D478" s="24" t="str">
        <f>IF(ISERROR(VLOOKUP(C478,Settings!A:B,2,FALSE)),C478,VLOOKUP(C478,Settings!A:B,2,FALSE))</f>
        <v/>
      </c>
      <c r="E478" s="30" t="str">
        <f t="shared" si="43"/>
        <v>H</v>
      </c>
      <c r="F478" s="24" t="str">
        <f t="shared" si="44"/>
        <v/>
      </c>
      <c r="G478" s="24" t="str">
        <f>IF(ISNA(VLOOKUP(F478,Settings!G:H,2,FALSE)),"",VLOOKUP(F478,Settings!G:H,2,FALSE))</f>
        <v/>
      </c>
      <c r="H478" s="25"/>
      <c r="AL478" s="29">
        <f t="shared" si="42"/>
        <v>4</v>
      </c>
      <c r="AM478" s="29"/>
      <c r="AN478" s="29" t="str">
        <f>IF(ISNA(VLOOKUP(AM478,Settings!G:H,2,FALSE)),"",VLOOKUP(AM478,Settings!G:H,2,FALSE))</f>
        <v/>
      </c>
      <c r="AO478" s="30" t="str">
        <f t="shared" si="45"/>
        <v xml:space="preserve">O                                                                                            </v>
      </c>
      <c r="AP478" s="29" t="s">
        <v>9</v>
      </c>
    </row>
    <row r="479" spans="2:42">
      <c r="B479" s="24">
        <v>465</v>
      </c>
      <c r="C479" s="24" t="str">
        <f t="shared" si="41"/>
        <v/>
      </c>
      <c r="D479" s="24" t="str">
        <f>IF(ISERROR(VLOOKUP(C479,Settings!A:B,2,FALSE)),C479,VLOOKUP(C479,Settings!A:B,2,FALSE))</f>
        <v/>
      </c>
      <c r="E479" s="30" t="str">
        <f t="shared" si="43"/>
        <v>H</v>
      </c>
      <c r="F479" s="24" t="str">
        <f t="shared" si="44"/>
        <v/>
      </c>
      <c r="G479" s="24" t="str">
        <f>IF(ISNA(VLOOKUP(F479,Settings!G:H,2,FALSE)),"",VLOOKUP(F479,Settings!G:H,2,FALSE))</f>
        <v/>
      </c>
      <c r="H479" s="25"/>
      <c r="AL479" s="29">
        <f t="shared" si="42"/>
        <v>5</v>
      </c>
      <c r="AM479" s="29"/>
      <c r="AN479" s="29" t="str">
        <f>IF(ISNA(VLOOKUP(AM479,Settings!G:H,2,FALSE)),"",VLOOKUP(AM479,Settings!G:H,2,FALSE))</f>
        <v/>
      </c>
      <c r="AO479" s="30" t="str">
        <f t="shared" si="45"/>
        <v xml:space="preserve">O                                                                                            </v>
      </c>
      <c r="AP479" s="29" t="s">
        <v>9</v>
      </c>
    </row>
    <row r="480" spans="2:42">
      <c r="B480" s="24">
        <v>466</v>
      </c>
      <c r="C480" s="24" t="str">
        <f t="shared" si="41"/>
        <v/>
      </c>
      <c r="D480" s="24" t="str">
        <f>IF(ISERROR(VLOOKUP(C480,Settings!A:B,2,FALSE)),C480,VLOOKUP(C480,Settings!A:B,2,FALSE))</f>
        <v/>
      </c>
      <c r="E480" s="30" t="str">
        <f t="shared" si="43"/>
        <v>H</v>
      </c>
      <c r="F480" s="24" t="str">
        <f t="shared" si="44"/>
        <v/>
      </c>
      <c r="G480" s="24" t="str">
        <f>IF(ISNA(VLOOKUP(F480,Settings!G:H,2,FALSE)),"",VLOOKUP(F480,Settings!G:H,2,FALSE))</f>
        <v/>
      </c>
      <c r="H480" s="25"/>
      <c r="AL480" s="29">
        <f t="shared" si="42"/>
        <v>1</v>
      </c>
      <c r="AM480" s="29"/>
      <c r="AN480" s="29" t="str">
        <f>IF(ISNA(VLOOKUP(AM480,Settings!G:H,2,FALSE)),"",VLOOKUP(AM480,Settings!G:H,2,FALSE))</f>
        <v/>
      </c>
      <c r="AO480" s="30" t="str">
        <f t="shared" si="45"/>
        <v xml:space="preserve">O                                                                                             </v>
      </c>
      <c r="AP480" s="29" t="s">
        <v>9</v>
      </c>
    </row>
    <row r="481" spans="2:42">
      <c r="B481" s="24">
        <v>467</v>
      </c>
      <c r="C481" s="24" t="str">
        <f t="shared" si="41"/>
        <v/>
      </c>
      <c r="D481" s="24" t="str">
        <f>IF(ISERROR(VLOOKUP(C481,Settings!A:B,2,FALSE)),C481,VLOOKUP(C481,Settings!A:B,2,FALSE))</f>
        <v/>
      </c>
      <c r="E481" s="30" t="str">
        <f t="shared" si="43"/>
        <v>H</v>
      </c>
      <c r="F481" s="24" t="str">
        <f t="shared" si="44"/>
        <v/>
      </c>
      <c r="G481" s="24" t="str">
        <f>IF(ISNA(VLOOKUP(F481,Settings!G:H,2,FALSE)),"",VLOOKUP(F481,Settings!G:H,2,FALSE))</f>
        <v/>
      </c>
      <c r="H481" s="25"/>
      <c r="AL481" s="29">
        <f t="shared" si="42"/>
        <v>2</v>
      </c>
      <c r="AM481" s="29"/>
      <c r="AN481" s="29" t="str">
        <f>IF(ISNA(VLOOKUP(AM481,Settings!G:H,2,FALSE)),"",VLOOKUP(AM481,Settings!G:H,2,FALSE))</f>
        <v/>
      </c>
      <c r="AO481" s="30" t="str">
        <f t="shared" si="45"/>
        <v xml:space="preserve">O                                                                                             </v>
      </c>
      <c r="AP481" s="29" t="s">
        <v>9</v>
      </c>
    </row>
    <row r="482" spans="2:42">
      <c r="B482" s="24">
        <v>468</v>
      </c>
      <c r="C482" s="24" t="str">
        <f t="shared" si="41"/>
        <v/>
      </c>
      <c r="D482" s="24" t="str">
        <f>IF(ISERROR(VLOOKUP(C482,Settings!A:B,2,FALSE)),C482,VLOOKUP(C482,Settings!A:B,2,FALSE))</f>
        <v/>
      </c>
      <c r="E482" s="30" t="str">
        <f t="shared" si="43"/>
        <v>H</v>
      </c>
      <c r="F482" s="24" t="str">
        <f t="shared" si="44"/>
        <v/>
      </c>
      <c r="G482" s="24" t="str">
        <f>IF(ISNA(VLOOKUP(F482,Settings!G:H,2,FALSE)),"",VLOOKUP(F482,Settings!G:H,2,FALSE))</f>
        <v/>
      </c>
      <c r="H482" s="25"/>
      <c r="AL482" s="29">
        <f t="shared" si="42"/>
        <v>3</v>
      </c>
      <c r="AM482" s="29"/>
      <c r="AN482" s="29" t="str">
        <f>IF(ISNA(VLOOKUP(AM482,Settings!G:H,2,FALSE)),"",VLOOKUP(AM482,Settings!G:H,2,FALSE))</f>
        <v/>
      </c>
      <c r="AO482" s="30" t="str">
        <f t="shared" si="45"/>
        <v xml:space="preserve">O                                                                                             </v>
      </c>
      <c r="AP482" s="29" t="s">
        <v>9</v>
      </c>
    </row>
    <row r="483" spans="2:42">
      <c r="B483" s="24">
        <v>469</v>
      </c>
      <c r="C483" s="24" t="str">
        <f t="shared" si="41"/>
        <v/>
      </c>
      <c r="D483" s="24" t="str">
        <f>IF(ISERROR(VLOOKUP(C483,Settings!A:B,2,FALSE)),C483,VLOOKUP(C483,Settings!A:B,2,FALSE))</f>
        <v/>
      </c>
      <c r="E483" s="30" t="str">
        <f t="shared" si="43"/>
        <v>H</v>
      </c>
      <c r="F483" s="24" t="str">
        <f t="shared" si="44"/>
        <v/>
      </c>
      <c r="G483" s="24" t="str">
        <f>IF(ISNA(VLOOKUP(F483,Settings!G:H,2,FALSE)),"",VLOOKUP(F483,Settings!G:H,2,FALSE))</f>
        <v/>
      </c>
      <c r="H483" s="25"/>
      <c r="AL483" s="29">
        <f t="shared" si="42"/>
        <v>4</v>
      </c>
      <c r="AM483" s="29"/>
      <c r="AN483" s="29" t="str">
        <f>IF(ISNA(VLOOKUP(AM483,Settings!G:H,2,FALSE)),"",VLOOKUP(AM483,Settings!G:H,2,FALSE))</f>
        <v/>
      </c>
      <c r="AO483" s="30" t="str">
        <f t="shared" si="45"/>
        <v xml:space="preserve">O                                                                                             </v>
      </c>
      <c r="AP483" s="29" t="s">
        <v>9</v>
      </c>
    </row>
    <row r="484" spans="2:42">
      <c r="B484" s="24">
        <v>470</v>
      </c>
      <c r="C484" s="24" t="str">
        <f t="shared" si="41"/>
        <v/>
      </c>
      <c r="D484" s="24" t="str">
        <f>IF(ISERROR(VLOOKUP(C484,Settings!A:B,2,FALSE)),C484,VLOOKUP(C484,Settings!A:B,2,FALSE))</f>
        <v/>
      </c>
      <c r="E484" s="30" t="str">
        <f t="shared" si="43"/>
        <v>H</v>
      </c>
      <c r="F484" s="24" t="str">
        <f t="shared" si="44"/>
        <v/>
      </c>
      <c r="G484" s="24" t="str">
        <f>IF(ISNA(VLOOKUP(F484,Settings!G:H,2,FALSE)),"",VLOOKUP(F484,Settings!G:H,2,FALSE))</f>
        <v/>
      </c>
      <c r="H484" s="25"/>
      <c r="AL484" s="29">
        <f t="shared" si="42"/>
        <v>5</v>
      </c>
      <c r="AM484" s="29"/>
      <c r="AN484" s="29" t="str">
        <f>IF(ISNA(VLOOKUP(AM484,Settings!G:H,2,FALSE)),"",VLOOKUP(AM484,Settings!G:H,2,FALSE))</f>
        <v/>
      </c>
      <c r="AO484" s="30" t="str">
        <f t="shared" si="45"/>
        <v xml:space="preserve">O                                                                                             </v>
      </c>
      <c r="AP484" s="29" t="s">
        <v>9</v>
      </c>
    </row>
    <row r="485" spans="2:42">
      <c r="B485" s="24">
        <v>471</v>
      </c>
      <c r="C485" s="24" t="str">
        <f t="shared" si="41"/>
        <v/>
      </c>
      <c r="D485" s="24" t="str">
        <f>IF(ISERROR(VLOOKUP(C485,Settings!A:B,2,FALSE)),C485,VLOOKUP(C485,Settings!A:B,2,FALSE))</f>
        <v/>
      </c>
      <c r="E485" s="30" t="str">
        <f t="shared" si="43"/>
        <v>H</v>
      </c>
      <c r="F485" s="24" t="str">
        <f t="shared" si="44"/>
        <v/>
      </c>
      <c r="G485" s="24" t="str">
        <f>IF(ISNA(VLOOKUP(F485,Settings!G:H,2,FALSE)),"",VLOOKUP(F485,Settings!G:H,2,FALSE))</f>
        <v/>
      </c>
      <c r="H485" s="25"/>
      <c r="AL485" s="29">
        <f t="shared" si="42"/>
        <v>1</v>
      </c>
      <c r="AM485" s="29"/>
      <c r="AN485" s="29" t="str">
        <f>IF(ISNA(VLOOKUP(AM485,Settings!G:H,2,FALSE)),"",VLOOKUP(AM485,Settings!G:H,2,FALSE))</f>
        <v/>
      </c>
      <c r="AO485" s="30" t="str">
        <f t="shared" si="45"/>
        <v xml:space="preserve">O                                                                                              </v>
      </c>
      <c r="AP485" s="29" t="s">
        <v>9</v>
      </c>
    </row>
    <row r="486" spans="2:42">
      <c r="B486" s="24">
        <v>472</v>
      </c>
      <c r="C486" s="24" t="str">
        <f t="shared" si="41"/>
        <v/>
      </c>
      <c r="D486" s="24" t="str">
        <f>IF(ISERROR(VLOOKUP(C486,Settings!A:B,2,FALSE)),C486,VLOOKUP(C486,Settings!A:B,2,FALSE))</f>
        <v/>
      </c>
      <c r="E486" s="30" t="str">
        <f t="shared" si="43"/>
        <v>H</v>
      </c>
      <c r="F486" s="24" t="str">
        <f t="shared" si="44"/>
        <v/>
      </c>
      <c r="G486" s="24" t="str">
        <f>IF(ISNA(VLOOKUP(F486,Settings!G:H,2,FALSE)),"",VLOOKUP(F486,Settings!G:H,2,FALSE))</f>
        <v/>
      </c>
      <c r="H486" s="25"/>
      <c r="AL486" s="29">
        <f t="shared" si="42"/>
        <v>2</v>
      </c>
      <c r="AM486" s="29"/>
      <c r="AN486" s="29" t="str">
        <f>IF(ISNA(VLOOKUP(AM486,Settings!G:H,2,FALSE)),"",VLOOKUP(AM486,Settings!G:H,2,FALSE))</f>
        <v/>
      </c>
      <c r="AO486" s="30" t="str">
        <f t="shared" si="45"/>
        <v xml:space="preserve">O                                                                                              </v>
      </c>
      <c r="AP486" s="29" t="s">
        <v>9</v>
      </c>
    </row>
    <row r="487" spans="2:42">
      <c r="B487" s="24">
        <v>473</v>
      </c>
      <c r="C487" s="24" t="str">
        <f t="shared" si="41"/>
        <v/>
      </c>
      <c r="D487" s="24" t="str">
        <f>IF(ISERROR(VLOOKUP(C487,Settings!A:B,2,FALSE)),C487,VLOOKUP(C487,Settings!A:B,2,FALSE))</f>
        <v/>
      </c>
      <c r="E487" s="30" t="str">
        <f t="shared" si="43"/>
        <v>H</v>
      </c>
      <c r="F487" s="24" t="str">
        <f t="shared" si="44"/>
        <v/>
      </c>
      <c r="G487" s="24" t="str">
        <f>IF(ISNA(VLOOKUP(F487,Settings!G:H,2,FALSE)),"",VLOOKUP(F487,Settings!G:H,2,FALSE))</f>
        <v/>
      </c>
      <c r="H487" s="25"/>
      <c r="AL487" s="29">
        <f t="shared" si="42"/>
        <v>3</v>
      </c>
      <c r="AM487" s="29"/>
      <c r="AN487" s="29" t="str">
        <f>IF(ISNA(VLOOKUP(AM487,Settings!G:H,2,FALSE)),"",VLOOKUP(AM487,Settings!G:H,2,FALSE))</f>
        <v/>
      </c>
      <c r="AO487" s="30" t="str">
        <f t="shared" si="45"/>
        <v xml:space="preserve">O                                                                                              </v>
      </c>
      <c r="AP487" s="29" t="s">
        <v>9</v>
      </c>
    </row>
    <row r="488" spans="2:42">
      <c r="B488" s="24">
        <v>474</v>
      </c>
      <c r="C488" s="24" t="str">
        <f t="shared" si="41"/>
        <v/>
      </c>
      <c r="D488" s="24" t="str">
        <f>IF(ISERROR(VLOOKUP(C488,Settings!A:B,2,FALSE)),C488,VLOOKUP(C488,Settings!A:B,2,FALSE))</f>
        <v/>
      </c>
      <c r="E488" s="30" t="str">
        <f t="shared" si="43"/>
        <v>H</v>
      </c>
      <c r="F488" s="24" t="str">
        <f t="shared" si="44"/>
        <v/>
      </c>
      <c r="G488" s="24" t="str">
        <f>IF(ISNA(VLOOKUP(F488,Settings!G:H,2,FALSE)),"",VLOOKUP(F488,Settings!G:H,2,FALSE))</f>
        <v/>
      </c>
      <c r="H488" s="25"/>
      <c r="AL488" s="29">
        <f t="shared" si="42"/>
        <v>4</v>
      </c>
      <c r="AM488" s="29"/>
      <c r="AN488" s="29" t="str">
        <f>IF(ISNA(VLOOKUP(AM488,Settings!G:H,2,FALSE)),"",VLOOKUP(AM488,Settings!G:H,2,FALSE))</f>
        <v/>
      </c>
      <c r="AO488" s="30" t="str">
        <f t="shared" si="45"/>
        <v xml:space="preserve">O                                                                                              </v>
      </c>
      <c r="AP488" s="29" t="s">
        <v>9</v>
      </c>
    </row>
    <row r="489" spans="2:42">
      <c r="B489" s="24">
        <v>475</v>
      </c>
      <c r="C489" s="24" t="str">
        <f t="shared" si="41"/>
        <v/>
      </c>
      <c r="D489" s="24" t="str">
        <f>IF(ISERROR(VLOOKUP(C489,Settings!A:B,2,FALSE)),C489,VLOOKUP(C489,Settings!A:B,2,FALSE))</f>
        <v/>
      </c>
      <c r="E489" s="30" t="str">
        <f t="shared" si="43"/>
        <v>H</v>
      </c>
      <c r="F489" s="24" t="str">
        <f t="shared" si="44"/>
        <v/>
      </c>
      <c r="G489" s="24" t="str">
        <f>IF(ISNA(VLOOKUP(F489,Settings!G:H,2,FALSE)),"",VLOOKUP(F489,Settings!G:H,2,FALSE))</f>
        <v/>
      </c>
      <c r="H489" s="25"/>
      <c r="AL489" s="29">
        <f t="shared" si="42"/>
        <v>5</v>
      </c>
      <c r="AM489" s="29"/>
      <c r="AN489" s="29" t="str">
        <f>IF(ISNA(VLOOKUP(AM489,Settings!G:H,2,FALSE)),"",VLOOKUP(AM489,Settings!G:H,2,FALSE))</f>
        <v/>
      </c>
      <c r="AO489" s="30" t="str">
        <f t="shared" si="45"/>
        <v xml:space="preserve">O                                                                                              </v>
      </c>
      <c r="AP489" s="29" t="s">
        <v>9</v>
      </c>
    </row>
    <row r="490" spans="2:42">
      <c r="B490" s="24">
        <v>476</v>
      </c>
      <c r="C490" s="24" t="str">
        <f t="shared" si="41"/>
        <v/>
      </c>
      <c r="D490" s="24" t="str">
        <f>IF(ISERROR(VLOOKUP(C490,Settings!A:B,2,FALSE)),C490,VLOOKUP(C490,Settings!A:B,2,FALSE))</f>
        <v/>
      </c>
      <c r="E490" s="30" t="str">
        <f t="shared" si="43"/>
        <v>H</v>
      </c>
      <c r="F490" s="24" t="str">
        <f t="shared" si="44"/>
        <v/>
      </c>
      <c r="G490" s="24" t="str">
        <f>IF(ISNA(VLOOKUP(F490,Settings!G:H,2,FALSE)),"",VLOOKUP(F490,Settings!G:H,2,FALSE))</f>
        <v/>
      </c>
      <c r="H490" s="25"/>
      <c r="AL490" s="29">
        <f t="shared" si="42"/>
        <v>1</v>
      </c>
      <c r="AM490" s="29"/>
      <c r="AN490" s="29" t="str">
        <f>IF(ISNA(VLOOKUP(AM490,Settings!G:H,2,FALSE)),"",VLOOKUP(AM490,Settings!G:H,2,FALSE))</f>
        <v/>
      </c>
      <c r="AO490" s="30" t="str">
        <f t="shared" si="45"/>
        <v xml:space="preserve">O                                                                                               </v>
      </c>
      <c r="AP490" s="29" t="s">
        <v>9</v>
      </c>
    </row>
    <row r="491" spans="2:42">
      <c r="B491" s="24">
        <v>477</v>
      </c>
      <c r="C491" s="24" t="str">
        <f t="shared" si="41"/>
        <v/>
      </c>
      <c r="D491" s="24" t="str">
        <f>IF(ISERROR(VLOOKUP(C491,Settings!A:B,2,FALSE)),C491,VLOOKUP(C491,Settings!A:B,2,FALSE))</f>
        <v/>
      </c>
      <c r="E491" s="30" t="str">
        <f t="shared" si="43"/>
        <v>H</v>
      </c>
      <c r="F491" s="24" t="str">
        <f t="shared" si="44"/>
        <v/>
      </c>
      <c r="G491" s="24" t="str">
        <f>IF(ISNA(VLOOKUP(F491,Settings!G:H,2,FALSE)),"",VLOOKUP(F491,Settings!G:H,2,FALSE))</f>
        <v/>
      </c>
      <c r="H491" s="25"/>
      <c r="AL491" s="29">
        <f t="shared" si="42"/>
        <v>2</v>
      </c>
      <c r="AM491" s="29"/>
      <c r="AN491" s="29" t="str">
        <f>IF(ISNA(VLOOKUP(AM491,Settings!G:H,2,FALSE)),"",VLOOKUP(AM491,Settings!G:H,2,FALSE))</f>
        <v/>
      </c>
      <c r="AO491" s="30" t="str">
        <f t="shared" si="45"/>
        <v xml:space="preserve">O                                                                                               </v>
      </c>
      <c r="AP491" s="29" t="s">
        <v>9</v>
      </c>
    </row>
    <row r="492" spans="2:42">
      <c r="B492" s="24">
        <v>478</v>
      </c>
      <c r="C492" s="24" t="str">
        <f t="shared" si="41"/>
        <v/>
      </c>
      <c r="D492" s="24" t="str">
        <f>IF(ISERROR(VLOOKUP(C492,Settings!A:B,2,FALSE)),C492,VLOOKUP(C492,Settings!A:B,2,FALSE))</f>
        <v/>
      </c>
      <c r="E492" s="30" t="str">
        <f t="shared" si="43"/>
        <v>H</v>
      </c>
      <c r="F492" s="24" t="str">
        <f t="shared" si="44"/>
        <v/>
      </c>
      <c r="G492" s="24" t="str">
        <f>IF(ISNA(VLOOKUP(F492,Settings!G:H,2,FALSE)),"",VLOOKUP(F492,Settings!G:H,2,FALSE))</f>
        <v/>
      </c>
      <c r="H492" s="25"/>
      <c r="AL492" s="29">
        <f t="shared" si="42"/>
        <v>3</v>
      </c>
      <c r="AM492" s="29"/>
      <c r="AN492" s="29" t="str">
        <f>IF(ISNA(VLOOKUP(AM492,Settings!G:H,2,FALSE)),"",VLOOKUP(AM492,Settings!G:H,2,FALSE))</f>
        <v/>
      </c>
      <c r="AO492" s="30" t="str">
        <f t="shared" si="45"/>
        <v xml:space="preserve">O                                                                                               </v>
      </c>
      <c r="AP492" s="29" t="s">
        <v>9</v>
      </c>
    </row>
    <row r="493" spans="2:42">
      <c r="B493" s="24">
        <v>479</v>
      </c>
      <c r="C493" s="24" t="str">
        <f t="shared" si="41"/>
        <v/>
      </c>
      <c r="D493" s="24" t="str">
        <f>IF(ISERROR(VLOOKUP(C493,Settings!A:B,2,FALSE)),C493,VLOOKUP(C493,Settings!A:B,2,FALSE))</f>
        <v/>
      </c>
      <c r="E493" s="30" t="str">
        <f t="shared" si="43"/>
        <v>H</v>
      </c>
      <c r="F493" s="24" t="str">
        <f t="shared" si="44"/>
        <v/>
      </c>
      <c r="G493" s="24" t="str">
        <f>IF(ISNA(VLOOKUP(F493,Settings!G:H,2,FALSE)),"",VLOOKUP(F493,Settings!G:H,2,FALSE))</f>
        <v/>
      </c>
      <c r="H493" s="25"/>
      <c r="AL493" s="29">
        <f t="shared" si="42"/>
        <v>4</v>
      </c>
      <c r="AM493" s="29"/>
      <c r="AN493" s="29" t="str">
        <f>IF(ISNA(VLOOKUP(AM493,Settings!G:H,2,FALSE)),"",VLOOKUP(AM493,Settings!G:H,2,FALSE))</f>
        <v/>
      </c>
      <c r="AO493" s="30" t="str">
        <f t="shared" si="45"/>
        <v xml:space="preserve">O                                                                                               </v>
      </c>
      <c r="AP493" s="29" t="s">
        <v>9</v>
      </c>
    </row>
    <row r="494" spans="2:42">
      <c r="B494" s="24">
        <v>480</v>
      </c>
      <c r="C494" s="24" t="str">
        <f t="shared" si="41"/>
        <v/>
      </c>
      <c r="D494" s="24" t="str">
        <f>IF(ISERROR(VLOOKUP(C494,Settings!A:B,2,FALSE)),C494,VLOOKUP(C494,Settings!A:B,2,FALSE))</f>
        <v/>
      </c>
      <c r="E494" s="30" t="str">
        <f t="shared" si="43"/>
        <v>H</v>
      </c>
      <c r="F494" s="24" t="str">
        <f t="shared" si="44"/>
        <v/>
      </c>
      <c r="G494" s="24" t="str">
        <f>IF(ISNA(VLOOKUP(F494,Settings!G:H,2,FALSE)),"",VLOOKUP(F494,Settings!G:H,2,FALSE))</f>
        <v/>
      </c>
      <c r="H494" s="25"/>
      <c r="AL494" s="29">
        <f t="shared" si="42"/>
        <v>5</v>
      </c>
      <c r="AM494" s="29"/>
      <c r="AN494" s="29" t="str">
        <f>IF(ISNA(VLOOKUP(AM494,Settings!G:H,2,FALSE)),"",VLOOKUP(AM494,Settings!G:H,2,FALSE))</f>
        <v/>
      </c>
      <c r="AO494" s="30" t="str">
        <f t="shared" si="45"/>
        <v xml:space="preserve">O                                                                                               </v>
      </c>
      <c r="AP494" s="29" t="s">
        <v>9</v>
      </c>
    </row>
    <row r="495" spans="2:42">
      <c r="B495" s="24">
        <v>481</v>
      </c>
      <c r="C495" s="24" t="str">
        <f t="shared" si="41"/>
        <v/>
      </c>
      <c r="D495" s="24" t="str">
        <f>IF(ISERROR(VLOOKUP(C495,Settings!A:B,2,FALSE)),C495,VLOOKUP(C495,Settings!A:B,2,FALSE))</f>
        <v/>
      </c>
      <c r="E495" s="30" t="str">
        <f t="shared" si="43"/>
        <v>H</v>
      </c>
      <c r="F495" s="24" t="str">
        <f t="shared" si="44"/>
        <v/>
      </c>
      <c r="G495" s="24" t="str">
        <f>IF(ISNA(VLOOKUP(F495,Settings!G:H,2,FALSE)),"",VLOOKUP(F495,Settings!G:H,2,FALSE))</f>
        <v/>
      </c>
      <c r="H495" s="25"/>
      <c r="AL495" s="29">
        <f t="shared" si="42"/>
        <v>1</v>
      </c>
      <c r="AM495" s="29"/>
      <c r="AN495" s="29" t="str">
        <f>IF(ISNA(VLOOKUP(AM495,Settings!G:H,2,FALSE)),"",VLOOKUP(AM495,Settings!G:H,2,FALSE))</f>
        <v/>
      </c>
      <c r="AO495" s="30" t="str">
        <f t="shared" si="45"/>
        <v xml:space="preserve">O                                                                                                </v>
      </c>
      <c r="AP495" s="29" t="s">
        <v>9</v>
      </c>
    </row>
    <row r="496" spans="2:42">
      <c r="B496" s="24">
        <v>482</v>
      </c>
      <c r="C496" s="24" t="str">
        <f t="shared" si="41"/>
        <v/>
      </c>
      <c r="D496" s="24" t="str">
        <f>IF(ISERROR(VLOOKUP(C496,Settings!A:B,2,FALSE)),C496,VLOOKUP(C496,Settings!A:B,2,FALSE))</f>
        <v/>
      </c>
      <c r="E496" s="30" t="str">
        <f t="shared" si="43"/>
        <v>H</v>
      </c>
      <c r="F496" s="24" t="str">
        <f t="shared" si="44"/>
        <v/>
      </c>
      <c r="G496" s="24" t="str">
        <f>IF(ISNA(VLOOKUP(F496,Settings!G:H,2,FALSE)),"",VLOOKUP(F496,Settings!G:H,2,FALSE))</f>
        <v/>
      </c>
      <c r="H496" s="25"/>
      <c r="AL496" s="29">
        <f t="shared" si="42"/>
        <v>2</v>
      </c>
      <c r="AM496" s="29"/>
      <c r="AN496" s="29" t="str">
        <f>IF(ISNA(VLOOKUP(AM496,Settings!G:H,2,FALSE)),"",VLOOKUP(AM496,Settings!G:H,2,FALSE))</f>
        <v/>
      </c>
      <c r="AO496" s="30" t="str">
        <f t="shared" si="45"/>
        <v xml:space="preserve">O                                                                                                </v>
      </c>
      <c r="AP496" s="29" t="s">
        <v>9</v>
      </c>
    </row>
    <row r="497" spans="2:42">
      <c r="B497" s="24">
        <v>483</v>
      </c>
      <c r="C497" s="24" t="str">
        <f t="shared" si="41"/>
        <v/>
      </c>
      <c r="D497" s="24" t="str">
        <f>IF(ISERROR(VLOOKUP(C497,Settings!A:B,2,FALSE)),C497,VLOOKUP(C497,Settings!A:B,2,FALSE))</f>
        <v/>
      </c>
      <c r="E497" s="30" t="str">
        <f t="shared" si="43"/>
        <v>H</v>
      </c>
      <c r="F497" s="24" t="str">
        <f t="shared" si="44"/>
        <v/>
      </c>
      <c r="G497" s="24" t="str">
        <f>IF(ISNA(VLOOKUP(F497,Settings!G:H,2,FALSE)),"",VLOOKUP(F497,Settings!G:H,2,FALSE))</f>
        <v/>
      </c>
      <c r="H497" s="25"/>
      <c r="AL497" s="29">
        <f t="shared" si="42"/>
        <v>3</v>
      </c>
      <c r="AM497" s="29"/>
      <c r="AN497" s="29" t="str">
        <f>IF(ISNA(VLOOKUP(AM497,Settings!G:H,2,FALSE)),"",VLOOKUP(AM497,Settings!G:H,2,FALSE))</f>
        <v/>
      </c>
      <c r="AO497" s="30" t="str">
        <f t="shared" si="45"/>
        <v xml:space="preserve">O                                                                                                </v>
      </c>
      <c r="AP497" s="29" t="s">
        <v>9</v>
      </c>
    </row>
    <row r="498" spans="2:42">
      <c r="B498" s="24">
        <v>484</v>
      </c>
      <c r="C498" s="24" t="str">
        <f t="shared" si="41"/>
        <v/>
      </c>
      <c r="D498" s="24" t="str">
        <f>IF(ISERROR(VLOOKUP(C498,Settings!A:B,2,FALSE)),C498,VLOOKUP(C498,Settings!A:B,2,FALSE))</f>
        <v/>
      </c>
      <c r="E498" s="30" t="str">
        <f t="shared" si="43"/>
        <v>H</v>
      </c>
      <c r="F498" s="24" t="str">
        <f t="shared" si="44"/>
        <v/>
      </c>
      <c r="G498" s="24" t="str">
        <f>IF(ISNA(VLOOKUP(F498,Settings!G:H,2,FALSE)),"",VLOOKUP(F498,Settings!G:H,2,FALSE))</f>
        <v/>
      </c>
      <c r="H498" s="25"/>
      <c r="AL498" s="29">
        <f t="shared" si="42"/>
        <v>4</v>
      </c>
      <c r="AM498" s="29"/>
      <c r="AN498" s="29" t="str">
        <f>IF(ISNA(VLOOKUP(AM498,Settings!G:H,2,FALSE)),"",VLOOKUP(AM498,Settings!G:H,2,FALSE))</f>
        <v/>
      </c>
      <c r="AO498" s="30" t="str">
        <f t="shared" si="45"/>
        <v xml:space="preserve">O                                                                                                </v>
      </c>
      <c r="AP498" s="29" t="s">
        <v>9</v>
      </c>
    </row>
    <row r="499" spans="2:42">
      <c r="B499" s="24">
        <v>485</v>
      </c>
      <c r="C499" s="24" t="str">
        <f t="shared" si="41"/>
        <v/>
      </c>
      <c r="D499" s="24" t="str">
        <f>IF(ISERROR(VLOOKUP(C499,Settings!A:B,2,FALSE)),C499,VLOOKUP(C499,Settings!A:B,2,FALSE))</f>
        <v/>
      </c>
      <c r="E499" s="30" t="str">
        <f t="shared" si="43"/>
        <v>H</v>
      </c>
      <c r="F499" s="24" t="str">
        <f t="shared" si="44"/>
        <v/>
      </c>
      <c r="G499" s="24" t="str">
        <f>IF(ISNA(VLOOKUP(F499,Settings!G:H,2,FALSE)),"",VLOOKUP(F499,Settings!G:H,2,FALSE))</f>
        <v/>
      </c>
      <c r="H499" s="25"/>
      <c r="AL499" s="29">
        <f t="shared" si="42"/>
        <v>5</v>
      </c>
      <c r="AM499" s="29"/>
      <c r="AN499" s="29" t="str">
        <f>IF(ISNA(VLOOKUP(AM499,Settings!G:H,2,FALSE)),"",VLOOKUP(AM499,Settings!G:H,2,FALSE))</f>
        <v/>
      </c>
      <c r="AO499" s="30" t="str">
        <f t="shared" si="45"/>
        <v xml:space="preserve">O                                                                                                </v>
      </c>
      <c r="AP499" s="29" t="s">
        <v>9</v>
      </c>
    </row>
    <row r="500" spans="2:42">
      <c r="B500" s="24">
        <v>486</v>
      </c>
      <c r="C500" s="24" t="str">
        <f t="shared" si="41"/>
        <v/>
      </c>
      <c r="D500" s="24" t="str">
        <f>IF(ISERROR(VLOOKUP(C500,Settings!A:B,2,FALSE)),C500,VLOOKUP(C500,Settings!A:B,2,FALSE))</f>
        <v/>
      </c>
      <c r="E500" s="30" t="str">
        <f t="shared" si="43"/>
        <v>H</v>
      </c>
      <c r="F500" s="24" t="str">
        <f t="shared" si="44"/>
        <v/>
      </c>
      <c r="G500" s="24" t="str">
        <f>IF(ISNA(VLOOKUP(F500,Settings!G:H,2,FALSE)),"",VLOOKUP(F500,Settings!G:H,2,FALSE))</f>
        <v/>
      </c>
      <c r="H500" s="25"/>
      <c r="AL500" s="29">
        <f t="shared" si="42"/>
        <v>1</v>
      </c>
      <c r="AM500" s="29"/>
      <c r="AN500" s="29" t="str">
        <f>IF(ISNA(VLOOKUP(AM500,Settings!G:H,2,FALSE)),"",VLOOKUP(AM500,Settings!G:H,2,FALSE))</f>
        <v/>
      </c>
      <c r="AO500" s="30" t="str">
        <f t="shared" si="45"/>
        <v xml:space="preserve">O                                                                                                 </v>
      </c>
      <c r="AP500" s="29" t="s">
        <v>9</v>
      </c>
    </row>
    <row r="501" spans="2:42">
      <c r="B501" s="24">
        <v>487</v>
      </c>
      <c r="C501" s="24" t="str">
        <f t="shared" si="41"/>
        <v/>
      </c>
      <c r="D501" s="24" t="str">
        <f>IF(ISERROR(VLOOKUP(C501,Settings!A:B,2,FALSE)),C501,VLOOKUP(C501,Settings!A:B,2,FALSE))</f>
        <v/>
      </c>
      <c r="E501" s="30" t="str">
        <f t="shared" si="43"/>
        <v>H</v>
      </c>
      <c r="F501" s="24" t="str">
        <f t="shared" si="44"/>
        <v/>
      </c>
      <c r="G501" s="24" t="str">
        <f>IF(ISNA(VLOOKUP(F501,Settings!G:H,2,FALSE)),"",VLOOKUP(F501,Settings!G:H,2,FALSE))</f>
        <v/>
      </c>
      <c r="H501" s="25"/>
      <c r="AL501" s="29">
        <f t="shared" si="42"/>
        <v>2</v>
      </c>
      <c r="AM501" s="29"/>
      <c r="AN501" s="29" t="str">
        <f>IF(ISNA(VLOOKUP(AM501,Settings!G:H,2,FALSE)),"",VLOOKUP(AM501,Settings!G:H,2,FALSE))</f>
        <v/>
      </c>
      <c r="AO501" s="30" t="str">
        <f t="shared" si="45"/>
        <v xml:space="preserve">O                                                                                                 </v>
      </c>
      <c r="AP501" s="29" t="s">
        <v>9</v>
      </c>
    </row>
    <row r="502" spans="2:42">
      <c r="B502" s="24">
        <v>488</v>
      </c>
      <c r="C502" s="24" t="str">
        <f t="shared" si="41"/>
        <v/>
      </c>
      <c r="D502" s="24" t="str">
        <f>IF(ISERROR(VLOOKUP(C502,Settings!A:B,2,FALSE)),C502,VLOOKUP(C502,Settings!A:B,2,FALSE))</f>
        <v/>
      </c>
      <c r="E502" s="30" t="str">
        <f t="shared" si="43"/>
        <v>H</v>
      </c>
      <c r="F502" s="24" t="str">
        <f t="shared" si="44"/>
        <v/>
      </c>
      <c r="G502" s="24" t="str">
        <f>IF(ISNA(VLOOKUP(F502,Settings!G:H,2,FALSE)),"",VLOOKUP(F502,Settings!G:H,2,FALSE))</f>
        <v/>
      </c>
      <c r="H502" s="25"/>
      <c r="AL502" s="29">
        <f t="shared" si="42"/>
        <v>3</v>
      </c>
      <c r="AM502" s="29"/>
      <c r="AN502" s="29" t="str">
        <f>IF(ISNA(VLOOKUP(AM502,Settings!G:H,2,FALSE)),"",VLOOKUP(AM502,Settings!G:H,2,FALSE))</f>
        <v/>
      </c>
      <c r="AO502" s="30" t="str">
        <f t="shared" si="45"/>
        <v xml:space="preserve">O                                                                                                 </v>
      </c>
      <c r="AP502" s="29" t="s">
        <v>9</v>
      </c>
    </row>
    <row r="503" spans="2:42">
      <c r="B503" s="24">
        <v>489</v>
      </c>
      <c r="C503" s="24" t="str">
        <f t="shared" si="41"/>
        <v/>
      </c>
      <c r="D503" s="24" t="str">
        <f>IF(ISERROR(VLOOKUP(C503,Settings!A:B,2,FALSE)),C503,VLOOKUP(C503,Settings!A:B,2,FALSE))</f>
        <v/>
      </c>
      <c r="E503" s="30" t="str">
        <f t="shared" si="43"/>
        <v>H</v>
      </c>
      <c r="F503" s="24" t="str">
        <f t="shared" si="44"/>
        <v/>
      </c>
      <c r="G503" s="24" t="str">
        <f>IF(ISNA(VLOOKUP(F503,Settings!G:H,2,FALSE)),"",VLOOKUP(F503,Settings!G:H,2,FALSE))</f>
        <v/>
      </c>
      <c r="H503" s="25"/>
      <c r="AL503" s="29">
        <f t="shared" si="42"/>
        <v>4</v>
      </c>
      <c r="AM503" s="29"/>
      <c r="AN503" s="29" t="str">
        <f>IF(ISNA(VLOOKUP(AM503,Settings!G:H,2,FALSE)),"",VLOOKUP(AM503,Settings!G:H,2,FALSE))</f>
        <v/>
      </c>
      <c r="AO503" s="30" t="str">
        <f t="shared" si="45"/>
        <v xml:space="preserve">O                                                                                                 </v>
      </c>
      <c r="AP503" s="29" t="s">
        <v>9</v>
      </c>
    </row>
    <row r="504" spans="2:42">
      <c r="B504" s="24">
        <v>490</v>
      </c>
      <c r="C504" s="24" t="str">
        <f t="shared" si="41"/>
        <v/>
      </c>
      <c r="D504" s="24" t="str">
        <f>IF(ISERROR(VLOOKUP(C504,Settings!A:B,2,FALSE)),C504,VLOOKUP(C504,Settings!A:B,2,FALSE))</f>
        <v/>
      </c>
      <c r="E504" s="30" t="str">
        <f t="shared" si="43"/>
        <v>H</v>
      </c>
      <c r="F504" s="24" t="str">
        <f t="shared" si="44"/>
        <v/>
      </c>
      <c r="G504" s="24" t="str">
        <f>IF(ISNA(VLOOKUP(F504,Settings!G:H,2,FALSE)),"",VLOOKUP(F504,Settings!G:H,2,FALSE))</f>
        <v/>
      </c>
      <c r="H504" s="25"/>
      <c r="AL504" s="29">
        <f t="shared" si="42"/>
        <v>5</v>
      </c>
      <c r="AM504" s="29"/>
      <c r="AN504" s="29" t="str">
        <f>IF(ISNA(VLOOKUP(AM504,Settings!G:H,2,FALSE)),"",VLOOKUP(AM504,Settings!G:H,2,FALSE))</f>
        <v/>
      </c>
      <c r="AO504" s="30" t="str">
        <f t="shared" si="45"/>
        <v xml:space="preserve">O                                                                                                 </v>
      </c>
      <c r="AP504" s="29" t="s">
        <v>9</v>
      </c>
    </row>
    <row r="505" spans="2:42">
      <c r="B505" s="24">
        <v>491</v>
      </c>
      <c r="C505" s="24" t="str">
        <f t="shared" si="41"/>
        <v/>
      </c>
      <c r="D505" s="24" t="str">
        <f>IF(ISERROR(VLOOKUP(C505,Settings!A:B,2,FALSE)),C505,VLOOKUP(C505,Settings!A:B,2,FALSE))</f>
        <v/>
      </c>
      <c r="E505" s="30" t="str">
        <f t="shared" si="43"/>
        <v>H</v>
      </c>
      <c r="F505" s="24" t="str">
        <f t="shared" si="44"/>
        <v/>
      </c>
      <c r="G505" s="24" t="str">
        <f>IF(ISNA(VLOOKUP(F505,Settings!G:H,2,FALSE)),"",VLOOKUP(F505,Settings!G:H,2,FALSE))</f>
        <v/>
      </c>
      <c r="H505" s="25"/>
      <c r="AL505" s="29">
        <f t="shared" si="42"/>
        <v>1</v>
      </c>
      <c r="AM505" s="29"/>
      <c r="AN505" s="29" t="str">
        <f>IF(ISNA(VLOOKUP(AM505,Settings!G:H,2,FALSE)),"",VLOOKUP(AM505,Settings!G:H,2,FALSE))</f>
        <v/>
      </c>
      <c r="AO505" s="30" t="str">
        <f t="shared" si="45"/>
        <v xml:space="preserve">O                                                                                                  </v>
      </c>
      <c r="AP505" s="29" t="s">
        <v>9</v>
      </c>
    </row>
    <row r="506" spans="2:42">
      <c r="B506" s="24">
        <v>492</v>
      </c>
      <c r="C506" s="24" t="str">
        <f t="shared" si="41"/>
        <v/>
      </c>
      <c r="D506" s="24" t="str">
        <f>IF(ISERROR(VLOOKUP(C506,Settings!A:B,2,FALSE)),C506,VLOOKUP(C506,Settings!A:B,2,FALSE))</f>
        <v/>
      </c>
      <c r="E506" s="30" t="str">
        <f t="shared" si="43"/>
        <v>H</v>
      </c>
      <c r="F506" s="24" t="str">
        <f t="shared" si="44"/>
        <v/>
      </c>
      <c r="G506" s="24" t="str">
        <f>IF(ISNA(VLOOKUP(F506,Settings!G:H,2,FALSE)),"",VLOOKUP(F506,Settings!G:H,2,FALSE))</f>
        <v/>
      </c>
      <c r="H506" s="25"/>
      <c r="AL506" s="29">
        <f t="shared" si="42"/>
        <v>2</v>
      </c>
      <c r="AM506" s="29"/>
      <c r="AN506" s="29" t="str">
        <f>IF(ISNA(VLOOKUP(AM506,Settings!G:H,2,FALSE)),"",VLOOKUP(AM506,Settings!G:H,2,FALSE))</f>
        <v/>
      </c>
      <c r="AO506" s="30" t="str">
        <f t="shared" si="45"/>
        <v xml:space="preserve">O                                                                                                  </v>
      </c>
      <c r="AP506" s="29" t="s">
        <v>9</v>
      </c>
    </row>
    <row r="507" spans="2:42">
      <c r="B507" s="24">
        <v>493</v>
      </c>
      <c r="C507" s="24" t="str">
        <f t="shared" si="41"/>
        <v/>
      </c>
      <c r="D507" s="24" t="str">
        <f>IF(ISERROR(VLOOKUP(C507,Settings!A:B,2,FALSE)),C507,VLOOKUP(C507,Settings!A:B,2,FALSE))</f>
        <v/>
      </c>
      <c r="E507" s="30" t="str">
        <f t="shared" si="43"/>
        <v>H</v>
      </c>
      <c r="F507" s="24" t="str">
        <f t="shared" si="44"/>
        <v/>
      </c>
      <c r="G507" s="24" t="str">
        <f>IF(ISNA(VLOOKUP(F507,Settings!G:H,2,FALSE)),"",VLOOKUP(F507,Settings!G:H,2,FALSE))</f>
        <v/>
      </c>
      <c r="H507" s="25"/>
      <c r="AL507" s="29">
        <f t="shared" si="42"/>
        <v>3</v>
      </c>
      <c r="AM507" s="29"/>
      <c r="AN507" s="29" t="str">
        <f>IF(ISNA(VLOOKUP(AM507,Settings!G:H,2,FALSE)),"",VLOOKUP(AM507,Settings!G:H,2,FALSE))</f>
        <v/>
      </c>
      <c r="AO507" s="30" t="str">
        <f t="shared" si="45"/>
        <v xml:space="preserve">O                                                                                                  </v>
      </c>
      <c r="AP507" s="29" t="s">
        <v>9</v>
      </c>
    </row>
    <row r="508" spans="2:42">
      <c r="B508" s="24">
        <v>494</v>
      </c>
      <c r="C508" s="24" t="str">
        <f t="shared" si="41"/>
        <v/>
      </c>
      <c r="D508" s="24" t="str">
        <f>IF(ISERROR(VLOOKUP(C508,Settings!A:B,2,FALSE)),C508,VLOOKUP(C508,Settings!A:B,2,FALSE))</f>
        <v/>
      </c>
      <c r="E508" s="30" t="str">
        <f t="shared" si="43"/>
        <v>H</v>
      </c>
      <c r="F508" s="24" t="str">
        <f t="shared" si="44"/>
        <v/>
      </c>
      <c r="G508" s="24" t="str">
        <f>IF(ISNA(VLOOKUP(F508,Settings!G:H,2,FALSE)),"",VLOOKUP(F508,Settings!G:H,2,FALSE))</f>
        <v/>
      </c>
      <c r="H508" s="25"/>
      <c r="AL508" s="29">
        <f t="shared" si="42"/>
        <v>4</v>
      </c>
      <c r="AM508" s="29"/>
      <c r="AN508" s="29" t="str">
        <f>IF(ISNA(VLOOKUP(AM508,Settings!G:H,2,FALSE)),"",VLOOKUP(AM508,Settings!G:H,2,FALSE))</f>
        <v/>
      </c>
      <c r="AO508" s="30" t="str">
        <f t="shared" si="45"/>
        <v xml:space="preserve">O                                                                                                  </v>
      </c>
      <c r="AP508" s="29" t="s">
        <v>9</v>
      </c>
    </row>
    <row r="509" spans="2:42">
      <c r="B509" s="24">
        <v>495</v>
      </c>
      <c r="C509" s="24" t="str">
        <f t="shared" si="41"/>
        <v/>
      </c>
      <c r="D509" s="24" t="str">
        <f>IF(ISERROR(VLOOKUP(C509,Settings!A:B,2,FALSE)),C509,VLOOKUP(C509,Settings!A:B,2,FALSE))</f>
        <v/>
      </c>
      <c r="E509" s="30" t="str">
        <f t="shared" si="43"/>
        <v>H</v>
      </c>
      <c r="F509" s="24" t="str">
        <f t="shared" si="44"/>
        <v/>
      </c>
      <c r="G509" s="24" t="str">
        <f>IF(ISNA(VLOOKUP(F509,Settings!G:H,2,FALSE)),"",VLOOKUP(F509,Settings!G:H,2,FALSE))</f>
        <v/>
      </c>
      <c r="H509" s="25"/>
      <c r="AL509" s="29">
        <f t="shared" si="42"/>
        <v>5</v>
      </c>
      <c r="AM509" s="29"/>
      <c r="AN509" s="29" t="str">
        <f>IF(ISNA(VLOOKUP(AM509,Settings!G:H,2,FALSE)),"",VLOOKUP(AM509,Settings!G:H,2,FALSE))</f>
        <v/>
      </c>
      <c r="AO509" s="30" t="str">
        <f t="shared" si="45"/>
        <v xml:space="preserve">O                                                                                                  </v>
      </c>
      <c r="AP509" s="29" t="s">
        <v>9</v>
      </c>
    </row>
    <row r="510" spans="2:42">
      <c r="B510" s="24">
        <v>496</v>
      </c>
      <c r="C510" s="24" t="str">
        <f t="shared" si="41"/>
        <v/>
      </c>
      <c r="D510" s="24" t="str">
        <f>IF(ISERROR(VLOOKUP(C510,Settings!A:B,2,FALSE)),C510,VLOOKUP(C510,Settings!A:B,2,FALSE))</f>
        <v/>
      </c>
      <c r="E510" s="30" t="str">
        <f t="shared" si="43"/>
        <v>H</v>
      </c>
      <c r="F510" s="24" t="str">
        <f t="shared" si="44"/>
        <v/>
      </c>
      <c r="G510" s="24" t="str">
        <f>IF(ISNA(VLOOKUP(F510,Settings!G:H,2,FALSE)),"",VLOOKUP(F510,Settings!G:H,2,FALSE))</f>
        <v/>
      </c>
      <c r="H510" s="25"/>
      <c r="AL510" s="29">
        <f t="shared" si="42"/>
        <v>1</v>
      </c>
      <c r="AM510" s="29"/>
      <c r="AN510" s="29" t="str">
        <f>IF(ISNA(VLOOKUP(AM510,Settings!G:H,2,FALSE)),"",VLOOKUP(AM510,Settings!G:H,2,FALSE))</f>
        <v/>
      </c>
      <c r="AO510" s="30" t="str">
        <f t="shared" si="45"/>
        <v xml:space="preserve">O                                                                                                   </v>
      </c>
      <c r="AP510" s="29" t="s">
        <v>9</v>
      </c>
    </row>
    <row r="511" spans="2:42">
      <c r="B511" s="24">
        <v>497</v>
      </c>
      <c r="C511" s="24" t="str">
        <f t="shared" si="41"/>
        <v/>
      </c>
      <c r="D511" s="24" t="str">
        <f>IF(ISERROR(VLOOKUP(C511,Settings!A:B,2,FALSE)),C511,VLOOKUP(C511,Settings!A:B,2,FALSE))</f>
        <v/>
      </c>
      <c r="E511" s="30" t="str">
        <f t="shared" si="43"/>
        <v>H</v>
      </c>
      <c r="F511" s="24" t="str">
        <f t="shared" si="44"/>
        <v/>
      </c>
      <c r="G511" s="24" t="str">
        <f>IF(ISNA(VLOOKUP(F511,Settings!G:H,2,FALSE)),"",VLOOKUP(F511,Settings!G:H,2,FALSE))</f>
        <v/>
      </c>
      <c r="H511" s="25"/>
      <c r="AL511" s="29">
        <f t="shared" si="42"/>
        <v>2</v>
      </c>
      <c r="AM511" s="29"/>
      <c r="AN511" s="29" t="str">
        <f>IF(ISNA(VLOOKUP(AM511,Settings!G:H,2,FALSE)),"",VLOOKUP(AM511,Settings!G:H,2,FALSE))</f>
        <v/>
      </c>
      <c r="AO511" s="30" t="str">
        <f t="shared" si="45"/>
        <v xml:space="preserve">O                                                                                                   </v>
      </c>
      <c r="AP511" s="29" t="s">
        <v>9</v>
      </c>
    </row>
    <row r="512" spans="2:42">
      <c r="B512" s="24">
        <v>498</v>
      </c>
      <c r="C512" s="24" t="str">
        <f t="shared" si="41"/>
        <v/>
      </c>
      <c r="D512" s="24" t="str">
        <f>IF(ISERROR(VLOOKUP(C512,Settings!A:B,2,FALSE)),C512,VLOOKUP(C512,Settings!A:B,2,FALSE))</f>
        <v/>
      </c>
      <c r="E512" s="30" t="str">
        <f t="shared" si="43"/>
        <v>H</v>
      </c>
      <c r="F512" s="24" t="str">
        <f t="shared" si="44"/>
        <v/>
      </c>
      <c r="G512" s="24" t="str">
        <f>IF(ISNA(VLOOKUP(F512,Settings!G:H,2,FALSE)),"",VLOOKUP(F512,Settings!G:H,2,FALSE))</f>
        <v/>
      </c>
      <c r="H512" s="25"/>
      <c r="AL512" s="29">
        <f t="shared" si="42"/>
        <v>3</v>
      </c>
      <c r="AM512" s="29"/>
      <c r="AN512" s="29" t="str">
        <f>IF(ISNA(VLOOKUP(AM512,Settings!G:H,2,FALSE)),"",VLOOKUP(AM512,Settings!G:H,2,FALSE))</f>
        <v/>
      </c>
      <c r="AO512" s="30" t="str">
        <f t="shared" si="45"/>
        <v xml:space="preserve">O                                                                                                   </v>
      </c>
      <c r="AP512" s="29" t="s">
        <v>9</v>
      </c>
    </row>
    <row r="513" spans="2:42">
      <c r="B513" s="24">
        <v>499</v>
      </c>
      <c r="C513" s="24" t="str">
        <f t="shared" si="41"/>
        <v/>
      </c>
      <c r="D513" s="24" t="str">
        <f>IF(ISERROR(VLOOKUP(C513,Settings!A:B,2,FALSE)),C513,VLOOKUP(C513,Settings!A:B,2,FALSE))</f>
        <v/>
      </c>
      <c r="E513" s="30" t="str">
        <f t="shared" si="43"/>
        <v>H</v>
      </c>
      <c r="F513" s="24" t="str">
        <f t="shared" si="44"/>
        <v/>
      </c>
      <c r="G513" s="24" t="str">
        <f>IF(ISNA(VLOOKUP(F513,Settings!G:H,2,FALSE)),"",VLOOKUP(F513,Settings!G:H,2,FALSE))</f>
        <v/>
      </c>
      <c r="H513" s="25"/>
      <c r="AL513" s="29">
        <f t="shared" si="42"/>
        <v>4</v>
      </c>
      <c r="AM513" s="29"/>
      <c r="AN513" s="29" t="str">
        <f>IF(ISNA(VLOOKUP(AM513,Settings!G:H,2,FALSE)),"",VLOOKUP(AM513,Settings!G:H,2,FALSE))</f>
        <v/>
      </c>
      <c r="AO513" s="30" t="str">
        <f t="shared" si="45"/>
        <v xml:space="preserve">O                                                                                                   </v>
      </c>
      <c r="AP513" s="29" t="s">
        <v>9</v>
      </c>
    </row>
    <row r="514" spans="2:42">
      <c r="B514" s="24">
        <v>500</v>
      </c>
      <c r="C514" s="24" t="str">
        <f t="shared" si="41"/>
        <v/>
      </c>
      <c r="D514" s="24" t="str">
        <f>IF(ISERROR(VLOOKUP(C514,Settings!A:B,2,FALSE)),C514,VLOOKUP(C514,Settings!A:B,2,FALSE))</f>
        <v/>
      </c>
      <c r="E514" s="30" t="str">
        <f t="shared" si="43"/>
        <v>H</v>
      </c>
      <c r="F514" s="24" t="str">
        <f t="shared" si="44"/>
        <v/>
      </c>
      <c r="G514" s="24" t="str">
        <f>IF(ISNA(VLOOKUP(F514,Settings!G:H,2,FALSE)),"",VLOOKUP(F514,Settings!G:H,2,FALSE))</f>
        <v/>
      </c>
      <c r="H514" s="25"/>
      <c r="AL514" s="29">
        <f t="shared" si="42"/>
        <v>5</v>
      </c>
      <c r="AM514" s="29"/>
      <c r="AN514" s="29" t="str">
        <f>IF(ISNA(VLOOKUP(AM514,Settings!G:H,2,FALSE)),"",VLOOKUP(AM514,Settings!G:H,2,FALSE))</f>
        <v/>
      </c>
      <c r="AO514" s="30" t="str">
        <f t="shared" si="45"/>
        <v xml:space="preserve">O                                                                                                   </v>
      </c>
      <c r="AP514" s="29" t="s">
        <v>9</v>
      </c>
    </row>
  </sheetData>
  <conditionalFormatting sqref="J15:M40">
    <cfRule type="expression" dxfId="9" priority="12">
      <formula>$J15=$G$10</formula>
    </cfRule>
  </conditionalFormatting>
  <conditionalFormatting sqref="O15:R40">
    <cfRule type="expression" dxfId="8" priority="21">
      <formula>$J15=$N$10</formula>
    </cfRule>
  </conditionalFormatting>
  <conditionalFormatting sqref="T15:W40">
    <cfRule type="expression" dxfId="7" priority="22">
      <formula>$J15=$S$10</formula>
    </cfRule>
  </conditionalFormatting>
  <conditionalFormatting sqref="Y15:Y40">
    <cfRule type="expression" dxfId="6" priority="33">
      <formula>$J15=$X$10</formula>
    </cfRule>
  </conditionalFormatting>
  <conditionalFormatting sqref="AB15:AC40">
    <cfRule type="expression" dxfId="5" priority="35">
      <formula>$AB15=$AA$10</formula>
    </cfRule>
  </conditionalFormatting>
  <conditionalFormatting sqref="AE15:AF40">
    <cfRule type="expression" dxfId="4" priority="36">
      <formula>$AE15=$AD$10</formula>
    </cfRule>
  </conditionalFormatting>
  <conditionalFormatting sqref="AH15:AI40">
    <cfRule type="expression" dxfId="3" priority="1">
      <formula>$AH15=$AG$10</formula>
    </cfRule>
  </conditionalFormatting>
  <conditionalFormatting sqref="Z15:Z40">
    <cfRule type="expression" dxfId="2" priority="32">
      <formula>$J15=$X$10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3:Q35"/>
  <sheetViews>
    <sheetView topLeftCell="C1" workbookViewId="0">
      <selection activeCell="H25" sqref="H25"/>
    </sheetView>
  </sheetViews>
  <sheetFormatPr defaultRowHeight="15"/>
  <cols>
    <col min="1" max="1" width="11.85546875" bestFit="1" customWidth="1"/>
    <col min="2" max="2" width="13.7109375" bestFit="1" customWidth="1"/>
    <col min="3" max="3" width="10.42578125" customWidth="1"/>
    <col min="7" max="7" width="13" customWidth="1"/>
    <col min="8" max="8" width="41.85546875" customWidth="1"/>
  </cols>
  <sheetData>
    <row r="3" spans="1:17">
      <c r="A3" s="102" t="s">
        <v>139</v>
      </c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</row>
    <row r="4" spans="1:17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7">
      <c r="A5" s="102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7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</row>
    <row r="9" spans="1:17">
      <c r="I9" s="90"/>
    </row>
    <row r="10" spans="1:17" ht="15.75" thickBot="1"/>
    <row r="11" spans="1:17">
      <c r="I11" s="94" t="s">
        <v>135</v>
      </c>
      <c r="J11" s="95"/>
      <c r="K11" s="95"/>
      <c r="L11" s="95"/>
      <c r="M11" s="95"/>
      <c r="N11" s="96"/>
      <c r="O11" s="94" t="s">
        <v>170</v>
      </c>
    </row>
    <row r="12" spans="1:17" ht="37.5" customHeight="1">
      <c r="I12" s="103" t="s">
        <v>136</v>
      </c>
      <c r="J12" s="104"/>
      <c r="K12" s="104" t="s">
        <v>137</v>
      </c>
      <c r="L12" s="104"/>
      <c r="M12" s="104" t="s">
        <v>138</v>
      </c>
      <c r="N12" s="105"/>
    </row>
    <row r="13" spans="1:17" ht="15.75" thickBot="1">
      <c r="I13" s="97" t="s">
        <v>36</v>
      </c>
      <c r="J13" s="98"/>
      <c r="K13" s="98" t="s">
        <v>11</v>
      </c>
      <c r="L13" s="98"/>
      <c r="M13" s="98" t="s">
        <v>18</v>
      </c>
      <c r="N13" s="99"/>
      <c r="O13" s="98" t="s">
        <v>164</v>
      </c>
      <c r="P13" s="98" t="s">
        <v>167</v>
      </c>
      <c r="Q13" s="98" t="s">
        <v>169</v>
      </c>
    </row>
    <row r="14" spans="1:17">
      <c r="A14" s="92" t="s">
        <v>122</v>
      </c>
      <c r="B14" s="92" t="s">
        <v>123</v>
      </c>
      <c r="C14" s="92" t="s">
        <v>124</v>
      </c>
      <c r="D14" s="92" t="s">
        <v>80</v>
      </c>
      <c r="E14" s="92" t="s">
        <v>125</v>
      </c>
      <c r="F14" s="92" t="s">
        <v>126</v>
      </c>
      <c r="G14" s="92" t="s">
        <v>127</v>
      </c>
      <c r="H14" s="92" t="s">
        <v>97</v>
      </c>
      <c r="I14" s="92" t="s">
        <v>128</v>
      </c>
      <c r="J14" s="92" t="s">
        <v>130</v>
      </c>
      <c r="K14" s="92" t="s">
        <v>131</v>
      </c>
      <c r="L14" s="92" t="s">
        <v>129</v>
      </c>
      <c r="M14" s="92" t="s">
        <v>132</v>
      </c>
      <c r="N14" s="92" t="s">
        <v>133</v>
      </c>
      <c r="O14" s="92" t="s">
        <v>165</v>
      </c>
      <c r="P14" s="92" t="s">
        <v>166</v>
      </c>
      <c r="Q14" s="92" t="s">
        <v>168</v>
      </c>
    </row>
    <row r="15" spans="1:17">
      <c r="H15" t="s">
        <v>143</v>
      </c>
      <c r="I15">
        <f>SUM(LEN($H15)-LEN(SUBSTITUTE($H15,I$13,"")))/LEN(I$13)</f>
        <v>2</v>
      </c>
      <c r="J15" s="93">
        <f>I15/LEN(TRIM(SUBSTITUTE(SUBSTITUTE(H15,"X","")," ","")))</f>
        <v>5.5555555555555552E-2</v>
      </c>
      <c r="K15">
        <f>SUM(LEN($H15)-LEN(SUBSTITUTE($H15,K$13,"")))/LEN(K$13)</f>
        <v>2</v>
      </c>
      <c r="L15" s="93">
        <f>K15/LEN(TRIM($H15))</f>
        <v>5.2631578947368418E-2</v>
      </c>
      <c r="M15">
        <f>SUM(LEN($H15)-LEN(SUBSTITUTE($H15,M$13,"")))/LEN(M$13)</f>
        <v>0</v>
      </c>
      <c r="N15" s="93">
        <f>M15/LEN(TRIM($H15))</f>
        <v>0</v>
      </c>
      <c r="O15">
        <f>SUM(LEN($H15)-LEN(SUBSTITUTE($H15,O$13,"")))/LEN(O$13)</f>
        <v>0</v>
      </c>
      <c r="P15">
        <f t="shared" ref="P15:Q30" si="0">SUM(LEN($H15)-LEN(SUBSTITUTE($H15,P$13,"")))/LEN(P$13)</f>
        <v>0</v>
      </c>
      <c r="Q15">
        <f t="shared" si="0"/>
        <v>0</v>
      </c>
    </row>
    <row r="16" spans="1:17">
      <c r="H16" t="s">
        <v>144</v>
      </c>
      <c r="I16">
        <f t="shared" ref="I16:I35" si="1">SUM(LEN($H16)-LEN(SUBSTITUTE($H16,I$13,"")))/LEN(I$13)</f>
        <v>1</v>
      </c>
      <c r="J16" s="93">
        <f t="shared" ref="J16:J35" si="2">I16/LEN(TRIM(SUBSTITUTE(SUBSTITUTE(H16,"X","")," ","")))</f>
        <v>2.7777777777777776E-2</v>
      </c>
      <c r="K16">
        <f t="shared" ref="K16:K35" si="3">SUM(LEN($H16)-LEN(SUBSTITUTE($H16,K$13,"")))/LEN(K$13)</f>
        <v>2</v>
      </c>
      <c r="L16" s="93">
        <f t="shared" ref="L16:L35" si="4">K16/LEN(TRIM($H16))</f>
        <v>5.2631578947368418E-2</v>
      </c>
      <c r="M16">
        <f t="shared" ref="M16:M35" si="5">SUM(LEN($H16)-LEN(SUBSTITUTE($H16,M$13,"")))/LEN(M$13)</f>
        <v>0</v>
      </c>
      <c r="N16" s="93">
        <f t="shared" ref="N16:N35" si="6">M16/LEN(TRIM($H16))</f>
        <v>0</v>
      </c>
      <c r="O16">
        <f t="shared" ref="O16:Q35" si="7">SUM(LEN($H16)-LEN(SUBSTITUTE($H16,O$13,"")))/LEN(O$13)</f>
        <v>0</v>
      </c>
      <c r="P16">
        <f t="shared" si="0"/>
        <v>0</v>
      </c>
      <c r="Q16">
        <f t="shared" si="0"/>
        <v>0</v>
      </c>
    </row>
    <row r="17" spans="8:17">
      <c r="H17" s="106" t="s">
        <v>145</v>
      </c>
      <c r="I17">
        <f t="shared" si="1"/>
        <v>2</v>
      </c>
      <c r="J17" s="93">
        <f t="shared" si="2"/>
        <v>6.25E-2</v>
      </c>
      <c r="K17">
        <f t="shared" si="3"/>
        <v>6</v>
      </c>
      <c r="L17" s="93">
        <f t="shared" si="4"/>
        <v>0.15789473684210525</v>
      </c>
      <c r="M17">
        <f t="shared" si="5"/>
        <v>1</v>
      </c>
      <c r="N17" s="93">
        <f t="shared" si="6"/>
        <v>2.6315789473684209E-2</v>
      </c>
      <c r="O17">
        <f t="shared" si="7"/>
        <v>0</v>
      </c>
      <c r="P17">
        <f t="shared" si="0"/>
        <v>0</v>
      </c>
      <c r="Q17">
        <f t="shared" si="0"/>
        <v>0</v>
      </c>
    </row>
    <row r="18" spans="8:17">
      <c r="H18" t="s">
        <v>146</v>
      </c>
      <c r="I18">
        <f t="shared" si="1"/>
        <v>1</v>
      </c>
      <c r="J18" s="93">
        <f t="shared" si="2"/>
        <v>2.6315789473684209E-2</v>
      </c>
      <c r="K18">
        <f t="shared" si="3"/>
        <v>0</v>
      </c>
      <c r="L18" s="93">
        <f t="shared" si="4"/>
        <v>0</v>
      </c>
      <c r="M18">
        <f t="shared" si="5"/>
        <v>0</v>
      </c>
      <c r="N18" s="93">
        <f t="shared" si="6"/>
        <v>0</v>
      </c>
      <c r="O18">
        <f t="shared" si="7"/>
        <v>0</v>
      </c>
      <c r="P18">
        <f t="shared" si="0"/>
        <v>0</v>
      </c>
      <c r="Q18">
        <f t="shared" si="0"/>
        <v>0</v>
      </c>
    </row>
    <row r="19" spans="8:17">
      <c r="H19" t="s">
        <v>147</v>
      </c>
      <c r="I19">
        <f t="shared" si="1"/>
        <v>0</v>
      </c>
      <c r="J19" s="93">
        <f t="shared" si="2"/>
        <v>0</v>
      </c>
      <c r="K19">
        <f t="shared" si="3"/>
        <v>2</v>
      </c>
      <c r="L19" s="93">
        <f t="shared" si="4"/>
        <v>5.2631578947368418E-2</v>
      </c>
      <c r="M19">
        <f t="shared" si="5"/>
        <v>0</v>
      </c>
      <c r="N19" s="93">
        <f t="shared" si="6"/>
        <v>0</v>
      </c>
      <c r="O19">
        <f t="shared" si="7"/>
        <v>0</v>
      </c>
      <c r="P19">
        <f t="shared" si="0"/>
        <v>0</v>
      </c>
      <c r="Q19">
        <f t="shared" si="0"/>
        <v>0</v>
      </c>
    </row>
    <row r="20" spans="8:17">
      <c r="H20" t="s">
        <v>148</v>
      </c>
      <c r="I20">
        <f t="shared" si="1"/>
        <v>3</v>
      </c>
      <c r="J20" s="93">
        <f t="shared" si="2"/>
        <v>8.5714285714285715E-2</v>
      </c>
      <c r="K20">
        <f t="shared" si="3"/>
        <v>3</v>
      </c>
      <c r="L20" s="93">
        <f t="shared" si="4"/>
        <v>7.8947368421052627E-2</v>
      </c>
      <c r="M20">
        <f t="shared" si="5"/>
        <v>0</v>
      </c>
      <c r="N20" s="93">
        <f t="shared" si="6"/>
        <v>0</v>
      </c>
      <c r="O20">
        <f t="shared" si="7"/>
        <v>0</v>
      </c>
      <c r="P20">
        <f t="shared" si="0"/>
        <v>1</v>
      </c>
      <c r="Q20">
        <f t="shared" si="0"/>
        <v>0</v>
      </c>
    </row>
    <row r="21" spans="8:17">
      <c r="H21" t="s">
        <v>149</v>
      </c>
      <c r="I21">
        <f t="shared" si="1"/>
        <v>1</v>
      </c>
      <c r="J21" s="93">
        <f t="shared" si="2"/>
        <v>2.9411764705882353E-2</v>
      </c>
      <c r="K21">
        <f t="shared" si="3"/>
        <v>4</v>
      </c>
      <c r="L21" s="93">
        <f t="shared" si="4"/>
        <v>0.10526315789473684</v>
      </c>
      <c r="M21">
        <f t="shared" si="5"/>
        <v>0</v>
      </c>
      <c r="N21" s="93">
        <f t="shared" si="6"/>
        <v>0</v>
      </c>
      <c r="O21">
        <f t="shared" si="7"/>
        <v>0</v>
      </c>
      <c r="P21">
        <f t="shared" si="0"/>
        <v>0</v>
      </c>
      <c r="Q21">
        <f t="shared" si="0"/>
        <v>0</v>
      </c>
    </row>
    <row r="22" spans="8:17">
      <c r="H22" t="s">
        <v>150</v>
      </c>
      <c r="I22">
        <f t="shared" si="1"/>
        <v>2</v>
      </c>
      <c r="J22" s="93">
        <f t="shared" si="2"/>
        <v>5.2631578947368418E-2</v>
      </c>
      <c r="K22">
        <f t="shared" si="3"/>
        <v>0</v>
      </c>
      <c r="L22" s="93">
        <f t="shared" si="4"/>
        <v>0</v>
      </c>
      <c r="M22">
        <f t="shared" si="5"/>
        <v>1</v>
      </c>
      <c r="N22" s="93">
        <f t="shared" si="6"/>
        <v>2.6315789473684209E-2</v>
      </c>
      <c r="O22">
        <f t="shared" si="7"/>
        <v>0</v>
      </c>
      <c r="P22">
        <f t="shared" si="0"/>
        <v>0</v>
      </c>
      <c r="Q22">
        <f t="shared" si="0"/>
        <v>0</v>
      </c>
    </row>
    <row r="23" spans="8:17">
      <c r="H23" t="s">
        <v>151</v>
      </c>
      <c r="I23">
        <f t="shared" si="1"/>
        <v>1</v>
      </c>
      <c r="J23" s="93">
        <f t="shared" si="2"/>
        <v>2.7027027027027029E-2</v>
      </c>
      <c r="K23">
        <f t="shared" si="3"/>
        <v>1</v>
      </c>
      <c r="L23" s="93">
        <f t="shared" si="4"/>
        <v>2.6315789473684209E-2</v>
      </c>
      <c r="M23">
        <f t="shared" si="5"/>
        <v>0</v>
      </c>
      <c r="N23" s="93">
        <f t="shared" si="6"/>
        <v>0</v>
      </c>
      <c r="O23">
        <f t="shared" si="7"/>
        <v>1</v>
      </c>
      <c r="P23">
        <f t="shared" si="0"/>
        <v>0</v>
      </c>
      <c r="Q23">
        <f t="shared" si="0"/>
        <v>0</v>
      </c>
    </row>
    <row r="24" spans="8:17">
      <c r="H24" t="s">
        <v>152</v>
      </c>
      <c r="I24">
        <f t="shared" si="1"/>
        <v>3</v>
      </c>
      <c r="J24" s="93">
        <f t="shared" si="2"/>
        <v>8.8235294117647065E-2</v>
      </c>
      <c r="K24">
        <f t="shared" si="3"/>
        <v>4</v>
      </c>
      <c r="L24" s="93">
        <f t="shared" si="4"/>
        <v>0.10526315789473684</v>
      </c>
      <c r="M24">
        <f t="shared" si="5"/>
        <v>0</v>
      </c>
      <c r="N24" s="93">
        <f t="shared" si="6"/>
        <v>0</v>
      </c>
      <c r="O24">
        <f t="shared" si="7"/>
        <v>0</v>
      </c>
      <c r="P24">
        <f t="shared" si="0"/>
        <v>0</v>
      </c>
      <c r="Q24">
        <f t="shared" si="0"/>
        <v>0</v>
      </c>
    </row>
    <row r="25" spans="8:17">
      <c r="H25" t="s">
        <v>153</v>
      </c>
      <c r="I25">
        <f t="shared" si="1"/>
        <v>1</v>
      </c>
      <c r="J25" s="93">
        <f t="shared" si="2"/>
        <v>2.6315789473684209E-2</v>
      </c>
      <c r="K25">
        <f t="shared" si="3"/>
        <v>0</v>
      </c>
      <c r="L25" s="93">
        <f t="shared" si="4"/>
        <v>0</v>
      </c>
      <c r="M25">
        <f t="shared" si="5"/>
        <v>0</v>
      </c>
      <c r="N25" s="93">
        <f t="shared" si="6"/>
        <v>0</v>
      </c>
      <c r="O25">
        <f t="shared" si="7"/>
        <v>0</v>
      </c>
      <c r="P25">
        <f t="shared" si="0"/>
        <v>0</v>
      </c>
      <c r="Q25">
        <f t="shared" si="0"/>
        <v>0</v>
      </c>
    </row>
    <row r="26" spans="8:17">
      <c r="H26" t="s">
        <v>154</v>
      </c>
      <c r="I26">
        <f t="shared" si="1"/>
        <v>2</v>
      </c>
      <c r="J26" s="93">
        <f t="shared" si="2"/>
        <v>5.5555555555555552E-2</v>
      </c>
      <c r="K26">
        <f t="shared" si="3"/>
        <v>2</v>
      </c>
      <c r="L26" s="93">
        <f t="shared" si="4"/>
        <v>5.2631578947368418E-2</v>
      </c>
      <c r="M26">
        <f t="shared" si="5"/>
        <v>0</v>
      </c>
      <c r="N26" s="93">
        <f t="shared" si="6"/>
        <v>0</v>
      </c>
      <c r="O26">
        <f t="shared" si="7"/>
        <v>0</v>
      </c>
      <c r="P26">
        <f t="shared" si="0"/>
        <v>0</v>
      </c>
      <c r="Q26">
        <f t="shared" si="0"/>
        <v>0</v>
      </c>
    </row>
    <row r="27" spans="8:17">
      <c r="H27" t="s">
        <v>155</v>
      </c>
      <c r="I27">
        <f t="shared" si="1"/>
        <v>3</v>
      </c>
      <c r="J27" s="93">
        <f t="shared" si="2"/>
        <v>8.1081081081081086E-2</v>
      </c>
      <c r="K27">
        <f t="shared" si="3"/>
        <v>1</v>
      </c>
      <c r="L27" s="93">
        <f t="shared" si="4"/>
        <v>2.6315789473684209E-2</v>
      </c>
      <c r="M27">
        <f t="shared" si="5"/>
        <v>0</v>
      </c>
      <c r="N27" s="93">
        <f t="shared" si="6"/>
        <v>0</v>
      </c>
      <c r="O27">
        <f t="shared" si="7"/>
        <v>0</v>
      </c>
      <c r="P27">
        <f t="shared" si="0"/>
        <v>0</v>
      </c>
      <c r="Q27">
        <f t="shared" si="0"/>
        <v>0</v>
      </c>
    </row>
    <row r="28" spans="8:17">
      <c r="H28" t="s">
        <v>156</v>
      </c>
      <c r="I28">
        <f t="shared" si="1"/>
        <v>1</v>
      </c>
      <c r="J28" s="93">
        <f t="shared" si="2"/>
        <v>2.7027027027027029E-2</v>
      </c>
      <c r="K28">
        <f t="shared" si="3"/>
        <v>1</v>
      </c>
      <c r="L28" s="93">
        <f t="shared" si="4"/>
        <v>2.6315789473684209E-2</v>
      </c>
      <c r="M28">
        <f t="shared" si="5"/>
        <v>0</v>
      </c>
      <c r="N28" s="93">
        <f t="shared" si="6"/>
        <v>0</v>
      </c>
      <c r="O28">
        <f t="shared" si="7"/>
        <v>0</v>
      </c>
      <c r="P28">
        <f t="shared" si="0"/>
        <v>0</v>
      </c>
      <c r="Q28">
        <f t="shared" si="0"/>
        <v>0</v>
      </c>
    </row>
    <row r="29" spans="8:17">
      <c r="H29" t="s">
        <v>157</v>
      </c>
      <c r="I29">
        <f t="shared" si="1"/>
        <v>2</v>
      </c>
      <c r="J29" s="93">
        <f t="shared" si="2"/>
        <v>5.4054054054054057E-2</v>
      </c>
      <c r="K29">
        <f t="shared" si="3"/>
        <v>1</v>
      </c>
      <c r="L29" s="93">
        <f t="shared" si="4"/>
        <v>2.6315789473684209E-2</v>
      </c>
      <c r="M29">
        <f t="shared" si="5"/>
        <v>0</v>
      </c>
      <c r="N29" s="93">
        <f t="shared" si="6"/>
        <v>0</v>
      </c>
      <c r="O29">
        <f t="shared" si="7"/>
        <v>0</v>
      </c>
      <c r="P29">
        <f t="shared" si="0"/>
        <v>0</v>
      </c>
      <c r="Q29">
        <f t="shared" si="0"/>
        <v>0</v>
      </c>
    </row>
    <row r="30" spans="8:17">
      <c r="H30" t="s">
        <v>158</v>
      </c>
      <c r="I30">
        <f t="shared" si="1"/>
        <v>2</v>
      </c>
      <c r="J30" s="93">
        <f t="shared" si="2"/>
        <v>5.5555555555555552E-2</v>
      </c>
      <c r="K30">
        <f t="shared" si="3"/>
        <v>2</v>
      </c>
      <c r="L30" s="93">
        <f t="shared" si="4"/>
        <v>5.2631578947368418E-2</v>
      </c>
      <c r="M30">
        <f t="shared" si="5"/>
        <v>0</v>
      </c>
      <c r="N30" s="93">
        <f t="shared" si="6"/>
        <v>0</v>
      </c>
      <c r="O30">
        <f t="shared" si="7"/>
        <v>0</v>
      </c>
      <c r="P30">
        <f t="shared" si="0"/>
        <v>0</v>
      </c>
      <c r="Q30">
        <f t="shared" si="0"/>
        <v>0</v>
      </c>
    </row>
    <row r="31" spans="8:17">
      <c r="H31" t="s">
        <v>159</v>
      </c>
      <c r="I31">
        <f t="shared" si="1"/>
        <v>2</v>
      </c>
      <c r="J31" s="93">
        <f t="shared" si="2"/>
        <v>5.4054054054054057E-2</v>
      </c>
      <c r="K31">
        <f t="shared" si="3"/>
        <v>1</v>
      </c>
      <c r="L31" s="93">
        <f t="shared" si="4"/>
        <v>2.6315789473684209E-2</v>
      </c>
      <c r="M31">
        <f t="shared" si="5"/>
        <v>0</v>
      </c>
      <c r="N31" s="93">
        <f t="shared" si="6"/>
        <v>0</v>
      </c>
      <c r="O31">
        <f t="shared" si="7"/>
        <v>0</v>
      </c>
      <c r="P31">
        <f t="shared" si="7"/>
        <v>0</v>
      </c>
      <c r="Q31">
        <f t="shared" si="7"/>
        <v>0</v>
      </c>
    </row>
    <row r="32" spans="8:17">
      <c r="H32" t="s">
        <v>160</v>
      </c>
      <c r="I32">
        <f t="shared" si="1"/>
        <v>0</v>
      </c>
      <c r="J32" s="93">
        <f t="shared" si="2"/>
        <v>0</v>
      </c>
      <c r="K32">
        <f t="shared" si="3"/>
        <v>0</v>
      </c>
      <c r="L32" s="93">
        <f t="shared" si="4"/>
        <v>0</v>
      </c>
      <c r="M32">
        <f t="shared" si="5"/>
        <v>0</v>
      </c>
      <c r="N32" s="93">
        <f t="shared" si="6"/>
        <v>0</v>
      </c>
      <c r="O32">
        <f t="shared" si="7"/>
        <v>0</v>
      </c>
      <c r="P32">
        <f t="shared" si="7"/>
        <v>0</v>
      </c>
      <c r="Q32">
        <f t="shared" si="7"/>
        <v>0</v>
      </c>
    </row>
    <row r="33" spans="8:17">
      <c r="H33" t="s">
        <v>161</v>
      </c>
      <c r="I33">
        <f t="shared" si="1"/>
        <v>2</v>
      </c>
      <c r="J33" s="93">
        <f t="shared" si="2"/>
        <v>5.2631578947368418E-2</v>
      </c>
      <c r="K33">
        <f t="shared" si="3"/>
        <v>0</v>
      </c>
      <c r="L33" s="93">
        <f t="shared" si="4"/>
        <v>0</v>
      </c>
      <c r="M33">
        <f t="shared" si="5"/>
        <v>0</v>
      </c>
      <c r="N33" s="93">
        <f t="shared" si="6"/>
        <v>0</v>
      </c>
      <c r="O33">
        <f t="shared" si="7"/>
        <v>0</v>
      </c>
      <c r="P33">
        <f t="shared" si="7"/>
        <v>0</v>
      </c>
      <c r="Q33">
        <f t="shared" si="7"/>
        <v>0</v>
      </c>
    </row>
    <row r="34" spans="8:17">
      <c r="H34" t="s">
        <v>162</v>
      </c>
      <c r="I34">
        <f t="shared" si="1"/>
        <v>1</v>
      </c>
      <c r="J34" s="93">
        <f t="shared" si="2"/>
        <v>2.8571428571428571E-2</v>
      </c>
      <c r="K34">
        <f t="shared" si="3"/>
        <v>3</v>
      </c>
      <c r="L34" s="93">
        <f t="shared" si="4"/>
        <v>7.8947368421052627E-2</v>
      </c>
      <c r="M34">
        <f t="shared" si="5"/>
        <v>0</v>
      </c>
      <c r="N34" s="93">
        <f t="shared" si="6"/>
        <v>0</v>
      </c>
      <c r="O34">
        <f t="shared" si="7"/>
        <v>0</v>
      </c>
      <c r="P34">
        <f t="shared" si="7"/>
        <v>0</v>
      </c>
      <c r="Q34">
        <f t="shared" si="7"/>
        <v>0</v>
      </c>
    </row>
    <row r="35" spans="8:17">
      <c r="H35" t="s">
        <v>163</v>
      </c>
      <c r="I35">
        <f t="shared" si="1"/>
        <v>3</v>
      </c>
      <c r="J35" s="93">
        <f t="shared" si="2"/>
        <v>8.1081081081081086E-2</v>
      </c>
      <c r="K35">
        <f t="shared" si="3"/>
        <v>1</v>
      </c>
      <c r="L35" s="93">
        <f t="shared" si="4"/>
        <v>2.6315789473684209E-2</v>
      </c>
      <c r="M35">
        <f t="shared" si="5"/>
        <v>0</v>
      </c>
      <c r="N35" s="93">
        <f t="shared" si="6"/>
        <v>0</v>
      </c>
      <c r="O35">
        <f t="shared" si="7"/>
        <v>0</v>
      </c>
      <c r="P35">
        <f t="shared" si="7"/>
        <v>0</v>
      </c>
      <c r="Q35">
        <f t="shared" si="7"/>
        <v>0</v>
      </c>
    </row>
  </sheetData>
  <mergeCells count="4">
    <mergeCell ref="A3:N6"/>
    <mergeCell ref="I12:J12"/>
    <mergeCell ref="K12:L12"/>
    <mergeCell ref="M12:N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theme="0" tint="-0.499984740745262"/>
  </sheetPr>
  <dimension ref="A1:AA32"/>
  <sheetViews>
    <sheetView workbookViewId="0">
      <selection activeCell="Q14" sqref="Q14"/>
    </sheetView>
  </sheetViews>
  <sheetFormatPr defaultRowHeight="15"/>
  <cols>
    <col min="9" max="9" width="9.140625" style="16"/>
    <col min="11" max="11" width="9.140625" style="3"/>
    <col min="20" max="20" width="11" customWidth="1"/>
    <col min="21" max="24" width="0" hidden="1" customWidth="1"/>
  </cols>
  <sheetData>
    <row r="1" spans="1:27">
      <c r="A1" s="5" t="s">
        <v>6</v>
      </c>
      <c r="E1" s="5" t="s">
        <v>74</v>
      </c>
      <c r="I1" s="12"/>
      <c r="J1" s="5" t="s">
        <v>73</v>
      </c>
      <c r="Z1" t="s">
        <v>134</v>
      </c>
    </row>
    <row r="2" spans="1:27" ht="34.5">
      <c r="A2" t="s">
        <v>8</v>
      </c>
      <c r="E2" t="s">
        <v>57</v>
      </c>
      <c r="F2" t="s">
        <v>58</v>
      </c>
      <c r="I2" s="13"/>
      <c r="J2" s="11" t="s">
        <v>72</v>
      </c>
      <c r="L2" s="10" t="s">
        <v>67</v>
      </c>
      <c r="M2" s="10" t="s">
        <v>67</v>
      </c>
      <c r="N2" s="10" t="s">
        <v>67</v>
      </c>
      <c r="O2" s="10" t="s">
        <v>68</v>
      </c>
      <c r="P2" s="10" t="s">
        <v>68</v>
      </c>
      <c r="Q2" s="10" t="s">
        <v>69</v>
      </c>
      <c r="R2" s="10" t="s">
        <v>70</v>
      </c>
      <c r="S2" s="10" t="s">
        <v>71</v>
      </c>
      <c r="T2" s="10" t="s">
        <v>86</v>
      </c>
    </row>
    <row r="3" spans="1:27">
      <c r="A3" s="1" t="s">
        <v>4</v>
      </c>
      <c r="B3" s="1" t="s">
        <v>10</v>
      </c>
      <c r="E3" t="s">
        <v>7</v>
      </c>
      <c r="F3" t="s">
        <v>35</v>
      </c>
      <c r="G3" t="s">
        <v>7</v>
      </c>
      <c r="H3" t="str">
        <f>IF(F3&lt;&gt;"",F3,IF(ISNA(VLOOKUP(G3,F:G,2,FALSE)),G3,VLOOKUP(G3,F:G,2,FALSE)))</f>
        <v>D</v>
      </c>
      <c r="I3" s="14"/>
      <c r="J3" s="18" t="s">
        <v>4</v>
      </c>
      <c r="K3" s="18" t="s">
        <v>60</v>
      </c>
      <c r="L3" s="9" t="s">
        <v>40</v>
      </c>
      <c r="M3" s="9" t="s">
        <v>61</v>
      </c>
      <c r="N3" s="9" t="s">
        <v>62</v>
      </c>
      <c r="O3" s="9" t="s">
        <v>63</v>
      </c>
      <c r="P3" s="9" t="s">
        <v>53</v>
      </c>
      <c r="Q3" s="9" t="s">
        <v>64</v>
      </c>
      <c r="R3" s="9" t="s">
        <v>65</v>
      </c>
      <c r="S3" s="9" t="s">
        <v>66</v>
      </c>
      <c r="T3" s="22" t="s">
        <v>85</v>
      </c>
      <c r="Z3" s="18" t="s">
        <v>60</v>
      </c>
      <c r="AA3" s="18" t="s">
        <v>4</v>
      </c>
    </row>
    <row r="4" spans="1:27">
      <c r="A4" t="s">
        <v>9</v>
      </c>
      <c r="B4" t="s">
        <v>11</v>
      </c>
      <c r="E4" t="s">
        <v>19</v>
      </c>
      <c r="G4" t="str">
        <f t="shared" ref="G4:G28" si="0">E4</f>
        <v>B</v>
      </c>
      <c r="H4" t="str">
        <f t="shared" ref="H4:H28" si="1">IF(F4&lt;&gt;"",F4,IF(ISNA(VLOOKUP(G4,F:G,2,FALSE)),G4,VLOOKUP(G4,F:G,2,FALSE)))</f>
        <v>B</v>
      </c>
      <c r="I4" s="15"/>
      <c r="J4" s="6" t="s">
        <v>7</v>
      </c>
      <c r="K4" s="17">
        <v>0</v>
      </c>
      <c r="L4" s="3" t="s">
        <v>36</v>
      </c>
      <c r="M4" s="3" t="s">
        <v>7</v>
      </c>
      <c r="N4" s="3" t="s">
        <v>19</v>
      </c>
      <c r="O4" s="3" t="s">
        <v>36</v>
      </c>
      <c r="P4" s="3" t="s">
        <v>53</v>
      </c>
      <c r="Q4" s="3" t="s">
        <v>41</v>
      </c>
      <c r="R4" s="3" t="s">
        <v>45</v>
      </c>
      <c r="S4" s="3" t="s">
        <v>37</v>
      </c>
      <c r="T4" s="3" t="s">
        <v>55</v>
      </c>
      <c r="Z4" s="17">
        <v>0</v>
      </c>
      <c r="AA4" s="6" t="s">
        <v>7</v>
      </c>
    </row>
    <row r="5" spans="1:27">
      <c r="A5" s="2" t="s">
        <v>12</v>
      </c>
      <c r="B5" t="s">
        <v>11</v>
      </c>
      <c r="E5" t="s">
        <v>20</v>
      </c>
      <c r="G5" t="str">
        <f t="shared" si="0"/>
        <v>C</v>
      </c>
      <c r="H5" t="str">
        <f t="shared" si="1"/>
        <v>C</v>
      </c>
      <c r="I5" s="15"/>
      <c r="J5" s="6" t="s">
        <v>19</v>
      </c>
      <c r="K5" s="17">
        <v>1</v>
      </c>
      <c r="L5" s="3" t="s">
        <v>42</v>
      </c>
      <c r="M5" s="3" t="s">
        <v>41</v>
      </c>
      <c r="N5" s="3" t="s">
        <v>35</v>
      </c>
      <c r="O5" s="3" t="s">
        <v>50</v>
      </c>
      <c r="P5" s="3" t="s">
        <v>56</v>
      </c>
      <c r="Q5" s="3" t="s">
        <v>47</v>
      </c>
      <c r="R5" s="3" t="s">
        <v>56</v>
      </c>
      <c r="S5" s="3" t="s">
        <v>42</v>
      </c>
      <c r="T5" s="3" t="s">
        <v>49</v>
      </c>
      <c r="Z5" s="17">
        <v>1</v>
      </c>
      <c r="AA5" s="6" t="s">
        <v>19</v>
      </c>
    </row>
    <row r="6" spans="1:27">
      <c r="A6" s="2" t="s">
        <v>13</v>
      </c>
      <c r="B6" t="s">
        <v>18</v>
      </c>
      <c r="E6" t="s">
        <v>35</v>
      </c>
      <c r="F6" t="s">
        <v>7</v>
      </c>
      <c r="G6" t="str">
        <f t="shared" si="0"/>
        <v>D</v>
      </c>
      <c r="H6" t="str">
        <f t="shared" si="1"/>
        <v>A</v>
      </c>
      <c r="I6" s="15"/>
      <c r="J6" s="6" t="s">
        <v>20</v>
      </c>
      <c r="K6" s="17">
        <v>2</v>
      </c>
      <c r="L6" s="3" t="s">
        <v>44</v>
      </c>
      <c r="M6" s="3" t="s">
        <v>35</v>
      </c>
      <c r="N6" s="3" t="s">
        <v>37</v>
      </c>
      <c r="O6" s="3" t="s">
        <v>46</v>
      </c>
      <c r="P6" s="3" t="s">
        <v>19</v>
      </c>
      <c r="Q6" s="3" t="s">
        <v>38</v>
      </c>
      <c r="R6" s="3" t="s">
        <v>41</v>
      </c>
      <c r="S6" s="3" t="s">
        <v>48</v>
      </c>
      <c r="T6" s="3" t="s">
        <v>52</v>
      </c>
      <c r="Z6" s="17">
        <v>2</v>
      </c>
      <c r="AA6" s="6" t="s">
        <v>20</v>
      </c>
    </row>
    <row r="7" spans="1:27">
      <c r="A7" s="2" t="s">
        <v>14</v>
      </c>
      <c r="B7" t="s">
        <v>11</v>
      </c>
      <c r="E7" t="s">
        <v>36</v>
      </c>
      <c r="G7" t="str">
        <f t="shared" si="0"/>
        <v>E</v>
      </c>
      <c r="H7" t="str">
        <f t="shared" si="1"/>
        <v>E</v>
      </c>
      <c r="I7" s="15"/>
      <c r="J7" s="6" t="s">
        <v>35</v>
      </c>
      <c r="K7" s="17">
        <v>3</v>
      </c>
      <c r="L7" s="3" t="s">
        <v>37</v>
      </c>
      <c r="M7" s="3" t="s">
        <v>42</v>
      </c>
      <c r="N7" s="3" t="s">
        <v>39</v>
      </c>
      <c r="O7" s="3" t="s">
        <v>53</v>
      </c>
      <c r="P7" s="3" t="s">
        <v>49</v>
      </c>
      <c r="Q7" s="3" t="s">
        <v>53</v>
      </c>
      <c r="R7" s="3" t="s">
        <v>39</v>
      </c>
      <c r="S7" s="3" t="s">
        <v>39</v>
      </c>
      <c r="T7" s="23" t="s">
        <v>39</v>
      </c>
      <c r="Z7" s="17">
        <v>3</v>
      </c>
      <c r="AA7" s="6" t="s">
        <v>35</v>
      </c>
    </row>
    <row r="8" spans="1:27">
      <c r="A8" s="2" t="s">
        <v>15</v>
      </c>
      <c r="B8" t="s">
        <v>11</v>
      </c>
      <c r="E8" t="s">
        <v>37</v>
      </c>
      <c r="F8" t="s">
        <v>51</v>
      </c>
      <c r="G8" t="str">
        <f t="shared" si="0"/>
        <v>F</v>
      </c>
      <c r="H8" t="str">
        <f t="shared" si="1"/>
        <v>T</v>
      </c>
      <c r="I8" s="15"/>
      <c r="J8" s="6" t="s">
        <v>36</v>
      </c>
      <c r="K8" s="17">
        <v>4</v>
      </c>
      <c r="L8" s="3" t="s">
        <v>43</v>
      </c>
      <c r="M8" s="3" t="s">
        <v>50</v>
      </c>
      <c r="N8" s="3" t="s">
        <v>41</v>
      </c>
      <c r="O8" s="3" t="s">
        <v>47</v>
      </c>
      <c r="P8" s="3" t="s">
        <v>38</v>
      </c>
      <c r="Q8" s="3" t="s">
        <v>46</v>
      </c>
      <c r="R8" s="3" t="s">
        <v>38</v>
      </c>
      <c r="S8" s="3" t="s">
        <v>51</v>
      </c>
      <c r="T8" s="23" t="s">
        <v>48</v>
      </c>
      <c r="Z8" s="17">
        <v>4</v>
      </c>
      <c r="AA8" s="6" t="s">
        <v>36</v>
      </c>
    </row>
    <row r="9" spans="1:27">
      <c r="A9" s="2" t="s">
        <v>16</v>
      </c>
      <c r="B9" t="s">
        <v>118</v>
      </c>
      <c r="E9" t="s">
        <v>38</v>
      </c>
      <c r="G9" t="str">
        <f t="shared" si="0"/>
        <v>G</v>
      </c>
      <c r="H9" t="str">
        <f t="shared" si="1"/>
        <v>G</v>
      </c>
      <c r="I9" s="15"/>
      <c r="J9" s="6" t="s">
        <v>37</v>
      </c>
      <c r="K9" s="17">
        <v>5</v>
      </c>
      <c r="L9" s="3" t="s">
        <v>38</v>
      </c>
      <c r="M9" s="3" t="s">
        <v>40</v>
      </c>
      <c r="N9" s="3" t="s">
        <v>43</v>
      </c>
      <c r="O9" s="3" t="s">
        <v>56</v>
      </c>
      <c r="P9" s="3" t="s">
        <v>40</v>
      </c>
      <c r="Q9" s="3" t="s">
        <v>52</v>
      </c>
      <c r="R9" s="3" t="s">
        <v>49</v>
      </c>
      <c r="S9" s="3" t="s">
        <v>43</v>
      </c>
      <c r="T9" s="23" t="s">
        <v>50</v>
      </c>
      <c r="Z9" s="17">
        <v>5</v>
      </c>
      <c r="AA9" s="6" t="s">
        <v>37</v>
      </c>
    </row>
    <row r="10" spans="1:27">
      <c r="A10" s="2" t="s">
        <v>17</v>
      </c>
      <c r="B10" t="s">
        <v>11</v>
      </c>
      <c r="E10" t="s">
        <v>39</v>
      </c>
      <c r="F10" t="s">
        <v>43</v>
      </c>
      <c r="G10" t="str">
        <f t="shared" si="0"/>
        <v>H</v>
      </c>
      <c r="H10" t="str">
        <f t="shared" si="1"/>
        <v>L</v>
      </c>
      <c r="I10" s="15"/>
      <c r="J10" s="6" t="s">
        <v>38</v>
      </c>
      <c r="K10" s="17">
        <v>6</v>
      </c>
      <c r="L10" s="3" t="s">
        <v>35</v>
      </c>
      <c r="M10" s="3" t="s">
        <v>49</v>
      </c>
      <c r="N10" s="3" t="s">
        <v>20</v>
      </c>
      <c r="O10" s="3" t="s">
        <v>41</v>
      </c>
      <c r="P10" s="3" t="s">
        <v>51</v>
      </c>
      <c r="Q10" s="3" t="s">
        <v>44</v>
      </c>
      <c r="R10" s="3" t="s">
        <v>20</v>
      </c>
      <c r="S10" s="3" t="s">
        <v>11</v>
      </c>
      <c r="T10" s="23" t="s">
        <v>43</v>
      </c>
      <c r="Z10" s="17">
        <v>6</v>
      </c>
      <c r="AA10" s="6" t="s">
        <v>38</v>
      </c>
    </row>
    <row r="11" spans="1:27">
      <c r="A11" s="2" t="s">
        <v>21</v>
      </c>
      <c r="B11" t="s">
        <v>107</v>
      </c>
      <c r="E11" t="s">
        <v>40</v>
      </c>
      <c r="G11" t="str">
        <f t="shared" si="0"/>
        <v>I</v>
      </c>
      <c r="H11" t="str">
        <f t="shared" si="1"/>
        <v>I</v>
      </c>
      <c r="I11" s="15"/>
      <c r="J11" s="6" t="s">
        <v>39</v>
      </c>
      <c r="K11" s="17">
        <v>7</v>
      </c>
      <c r="L11" s="3" t="s">
        <v>48</v>
      </c>
      <c r="M11" s="3" t="s">
        <v>52</v>
      </c>
      <c r="N11" s="3" t="s">
        <v>47</v>
      </c>
      <c r="O11" s="3" t="s">
        <v>7</v>
      </c>
      <c r="P11" s="3" t="s">
        <v>55</v>
      </c>
      <c r="Q11" s="3" t="s">
        <v>37</v>
      </c>
      <c r="R11" s="3" t="s">
        <v>11</v>
      </c>
      <c r="S11" s="3" t="s">
        <v>46</v>
      </c>
      <c r="T11" s="23" t="s">
        <v>35</v>
      </c>
      <c r="Z11" s="17">
        <v>7</v>
      </c>
      <c r="AA11" s="6" t="s">
        <v>39</v>
      </c>
    </row>
    <row r="12" spans="1:27">
      <c r="A12" s="2" t="s">
        <v>22</v>
      </c>
      <c r="B12" t="s">
        <v>108</v>
      </c>
      <c r="E12" t="s">
        <v>41</v>
      </c>
      <c r="F12" t="s">
        <v>42</v>
      </c>
      <c r="G12" t="str">
        <f t="shared" si="0"/>
        <v>J</v>
      </c>
      <c r="H12" t="str">
        <f t="shared" si="1"/>
        <v>K</v>
      </c>
      <c r="I12" s="15"/>
      <c r="J12" s="6" t="s">
        <v>40</v>
      </c>
      <c r="K12" s="17">
        <v>8</v>
      </c>
      <c r="L12" s="8" t="s">
        <v>53</v>
      </c>
      <c r="M12" s="3" t="s">
        <v>11</v>
      </c>
      <c r="N12" s="3" t="s">
        <v>49</v>
      </c>
      <c r="O12" s="3" t="s">
        <v>55</v>
      </c>
      <c r="P12" s="3" t="s">
        <v>52</v>
      </c>
      <c r="Q12" s="3" t="s">
        <v>55</v>
      </c>
      <c r="R12" s="3" t="s">
        <v>44</v>
      </c>
      <c r="S12" s="3" t="s">
        <v>20</v>
      </c>
      <c r="T12" s="23" t="s">
        <v>47</v>
      </c>
      <c r="Z12" s="17">
        <v>8</v>
      </c>
      <c r="AA12" s="6" t="s">
        <v>40</v>
      </c>
    </row>
    <row r="13" spans="1:27">
      <c r="A13" s="2" t="s">
        <v>23</v>
      </c>
      <c r="B13" t="s">
        <v>109</v>
      </c>
      <c r="E13" t="s">
        <v>42</v>
      </c>
      <c r="F13" t="s">
        <v>41</v>
      </c>
      <c r="G13" t="str">
        <f t="shared" si="0"/>
        <v>K</v>
      </c>
      <c r="H13" t="str">
        <f t="shared" si="1"/>
        <v>J</v>
      </c>
      <c r="I13" s="15"/>
      <c r="J13" s="6" t="s">
        <v>41</v>
      </c>
      <c r="K13" s="17">
        <v>9</v>
      </c>
      <c r="L13" s="3" t="s">
        <v>56</v>
      </c>
      <c r="M13" s="3" t="s">
        <v>19</v>
      </c>
      <c r="N13" s="3" t="s">
        <v>51</v>
      </c>
      <c r="O13" s="3" t="s">
        <v>48</v>
      </c>
      <c r="P13" s="3" t="s">
        <v>47</v>
      </c>
      <c r="Q13" s="3" t="s">
        <v>48</v>
      </c>
      <c r="R13" s="3" t="s">
        <v>55</v>
      </c>
      <c r="S13" s="3" t="s">
        <v>19</v>
      </c>
      <c r="T13" s="23" t="s">
        <v>11</v>
      </c>
      <c r="Z13" s="17">
        <v>9</v>
      </c>
      <c r="AA13" s="6" t="s">
        <v>41</v>
      </c>
    </row>
    <row r="14" spans="1:27">
      <c r="A14" s="2" t="s">
        <v>24</v>
      </c>
      <c r="B14" t="s">
        <v>110</v>
      </c>
      <c r="E14" t="s">
        <v>43</v>
      </c>
      <c r="F14" t="s">
        <v>39</v>
      </c>
      <c r="G14" t="str">
        <f t="shared" si="0"/>
        <v>L</v>
      </c>
      <c r="H14" t="str">
        <f t="shared" si="1"/>
        <v>H</v>
      </c>
      <c r="I14" s="15"/>
      <c r="J14" s="6" t="s">
        <v>42</v>
      </c>
      <c r="K14" s="17">
        <v>10</v>
      </c>
      <c r="L14" s="3" t="s">
        <v>45</v>
      </c>
      <c r="M14" s="3" t="s">
        <v>43</v>
      </c>
      <c r="N14" s="3" t="s">
        <v>11</v>
      </c>
      <c r="O14" s="3" t="s">
        <v>52</v>
      </c>
      <c r="P14" s="3" t="s">
        <v>50</v>
      </c>
      <c r="Q14" s="3" t="s">
        <v>19</v>
      </c>
      <c r="R14" s="3" t="s">
        <v>50</v>
      </c>
      <c r="S14" s="3" t="s">
        <v>41</v>
      </c>
      <c r="T14" s="23" t="s">
        <v>45</v>
      </c>
      <c r="Z14" s="17">
        <v>10</v>
      </c>
      <c r="AA14" s="6" t="s">
        <v>42</v>
      </c>
    </row>
    <row r="15" spans="1:27">
      <c r="A15" s="2" t="s">
        <v>25</v>
      </c>
      <c r="B15" t="s">
        <v>111</v>
      </c>
      <c r="E15" t="s">
        <v>44</v>
      </c>
      <c r="F15" t="s">
        <v>46</v>
      </c>
      <c r="G15" t="str">
        <f t="shared" si="0"/>
        <v>M</v>
      </c>
      <c r="H15" t="str">
        <f t="shared" si="1"/>
        <v>O</v>
      </c>
      <c r="I15" s="15"/>
      <c r="J15" s="6" t="s">
        <v>43</v>
      </c>
      <c r="K15" s="17">
        <v>11</v>
      </c>
      <c r="L15" s="3" t="s">
        <v>51</v>
      </c>
      <c r="M15" s="3" t="s">
        <v>39</v>
      </c>
      <c r="N15" s="3" t="s">
        <v>53</v>
      </c>
      <c r="O15" s="3" t="s">
        <v>40</v>
      </c>
      <c r="P15" s="3" t="s">
        <v>35</v>
      </c>
      <c r="Q15" s="3" t="s">
        <v>36</v>
      </c>
      <c r="R15" s="3" t="s">
        <v>54</v>
      </c>
      <c r="S15" s="3" t="s">
        <v>50</v>
      </c>
      <c r="T15" s="23" t="s">
        <v>38</v>
      </c>
      <c r="Z15" s="17">
        <v>11</v>
      </c>
      <c r="AA15" s="6" t="s">
        <v>43</v>
      </c>
    </row>
    <row r="16" spans="1:27">
      <c r="A16" s="2" t="s">
        <v>26</v>
      </c>
      <c r="B16" t="s">
        <v>112</v>
      </c>
      <c r="E16" t="s">
        <v>45</v>
      </c>
      <c r="G16" t="str">
        <f t="shared" si="0"/>
        <v>N</v>
      </c>
      <c r="H16" t="str">
        <f t="shared" si="1"/>
        <v>N</v>
      </c>
      <c r="I16" s="15"/>
      <c r="J16" s="6" t="s">
        <v>44</v>
      </c>
      <c r="K16" s="17">
        <v>12</v>
      </c>
      <c r="L16" s="3" t="s">
        <v>46</v>
      </c>
      <c r="M16" s="3" t="s">
        <v>54</v>
      </c>
      <c r="N16" s="3" t="s">
        <v>56</v>
      </c>
      <c r="O16" s="3" t="s">
        <v>49</v>
      </c>
      <c r="P16" s="3" t="s">
        <v>45</v>
      </c>
      <c r="Q16" s="3" t="s">
        <v>45</v>
      </c>
      <c r="R16" s="3" t="s">
        <v>19</v>
      </c>
      <c r="S16" s="3" t="s">
        <v>47</v>
      </c>
      <c r="T16" s="23" t="s">
        <v>46</v>
      </c>
      <c r="Z16" s="17">
        <v>12</v>
      </c>
      <c r="AA16" s="6" t="s">
        <v>44</v>
      </c>
    </row>
    <row r="17" spans="1:27">
      <c r="A17" s="2" t="s">
        <v>27</v>
      </c>
      <c r="B17" t="s">
        <v>113</v>
      </c>
      <c r="E17" t="s">
        <v>46</v>
      </c>
      <c r="F17" t="s">
        <v>44</v>
      </c>
      <c r="G17" t="str">
        <f t="shared" si="0"/>
        <v>O</v>
      </c>
      <c r="H17" t="str">
        <f t="shared" si="1"/>
        <v>M</v>
      </c>
      <c r="I17" s="15"/>
      <c r="J17" s="6" t="s">
        <v>45</v>
      </c>
      <c r="K17" s="17">
        <v>13</v>
      </c>
      <c r="L17" s="3" t="s">
        <v>54</v>
      </c>
      <c r="M17" s="3" t="s">
        <v>51</v>
      </c>
      <c r="N17" s="3" t="s">
        <v>45</v>
      </c>
      <c r="O17" s="3" t="s">
        <v>39</v>
      </c>
      <c r="P17" s="3" t="s">
        <v>39</v>
      </c>
      <c r="Q17" s="3" t="s">
        <v>39</v>
      </c>
      <c r="R17" s="3" t="s">
        <v>46</v>
      </c>
      <c r="S17" s="3" t="s">
        <v>35</v>
      </c>
      <c r="T17" s="23" t="s">
        <v>42</v>
      </c>
      <c r="Z17" s="17">
        <v>13</v>
      </c>
      <c r="AA17" s="6" t="s">
        <v>45</v>
      </c>
    </row>
    <row r="18" spans="1:27">
      <c r="A18" s="2" t="s">
        <v>28</v>
      </c>
      <c r="B18" t="s">
        <v>114</v>
      </c>
      <c r="E18" t="s">
        <v>47</v>
      </c>
      <c r="G18" t="str">
        <f t="shared" si="0"/>
        <v>P</v>
      </c>
      <c r="H18" t="str">
        <f t="shared" si="1"/>
        <v>P</v>
      </c>
      <c r="I18" s="15"/>
      <c r="J18" s="6" t="s">
        <v>46</v>
      </c>
      <c r="K18" s="17">
        <v>14</v>
      </c>
      <c r="L18" s="3" t="s">
        <v>55</v>
      </c>
      <c r="M18" s="3" t="s">
        <v>44</v>
      </c>
      <c r="N18" s="3" t="s">
        <v>55</v>
      </c>
      <c r="O18" s="3" t="s">
        <v>11</v>
      </c>
      <c r="P18" s="3" t="s">
        <v>43</v>
      </c>
      <c r="Q18" s="3" t="s">
        <v>56</v>
      </c>
      <c r="R18" s="3" t="s">
        <v>52</v>
      </c>
      <c r="S18" s="3" t="s">
        <v>56</v>
      </c>
      <c r="T18" s="23" t="s">
        <v>44</v>
      </c>
      <c r="Z18" s="17">
        <v>14</v>
      </c>
      <c r="AA18" s="6" t="s">
        <v>46</v>
      </c>
    </row>
    <row r="19" spans="1:27">
      <c r="A19" s="2" t="s">
        <v>29</v>
      </c>
      <c r="B19" t="s">
        <v>115</v>
      </c>
      <c r="E19" t="s">
        <v>48</v>
      </c>
      <c r="F19" t="s">
        <v>53</v>
      </c>
      <c r="G19" t="str">
        <f t="shared" si="0"/>
        <v>Q</v>
      </c>
      <c r="H19" t="str">
        <f t="shared" si="1"/>
        <v>V</v>
      </c>
      <c r="I19" s="15"/>
      <c r="J19" s="6" t="s">
        <v>47</v>
      </c>
      <c r="K19" s="17">
        <v>15</v>
      </c>
      <c r="L19" s="3" t="s">
        <v>39</v>
      </c>
      <c r="M19" s="3" t="s">
        <v>20</v>
      </c>
      <c r="N19" s="3" t="s">
        <v>36</v>
      </c>
      <c r="O19" s="3" t="s">
        <v>43</v>
      </c>
      <c r="P19" s="3" t="s">
        <v>11</v>
      </c>
      <c r="Q19" s="3" t="s">
        <v>49</v>
      </c>
      <c r="R19" s="3" t="s">
        <v>37</v>
      </c>
      <c r="S19" s="3" t="s">
        <v>49</v>
      </c>
      <c r="T19" s="23" t="s">
        <v>40</v>
      </c>
      <c r="Z19" s="17">
        <v>15</v>
      </c>
      <c r="AA19" s="6" t="s">
        <v>47</v>
      </c>
    </row>
    <row r="20" spans="1:27">
      <c r="A20" s="2" t="s">
        <v>30</v>
      </c>
      <c r="B20" t="s">
        <v>116</v>
      </c>
      <c r="E20" t="s">
        <v>49</v>
      </c>
      <c r="G20" t="str">
        <f t="shared" si="0"/>
        <v>R</v>
      </c>
      <c r="H20" t="str">
        <f t="shared" si="1"/>
        <v>R</v>
      </c>
      <c r="I20" s="15"/>
      <c r="J20" s="6" t="s">
        <v>48</v>
      </c>
      <c r="K20" s="17">
        <v>16</v>
      </c>
      <c r="L20" s="3" t="s">
        <v>11</v>
      </c>
      <c r="M20" s="3" t="s">
        <v>48</v>
      </c>
      <c r="N20" s="3" t="s">
        <v>40</v>
      </c>
      <c r="O20" s="3" t="s">
        <v>45</v>
      </c>
      <c r="P20" s="3" t="s">
        <v>7</v>
      </c>
      <c r="Q20" s="3" t="s">
        <v>35</v>
      </c>
      <c r="R20" s="3" t="s">
        <v>7</v>
      </c>
      <c r="S20" s="3" t="s">
        <v>7</v>
      </c>
      <c r="T20" s="23" t="s">
        <v>36</v>
      </c>
      <c r="Z20" s="17">
        <v>16</v>
      </c>
      <c r="AA20" s="6" t="s">
        <v>48</v>
      </c>
    </row>
    <row r="21" spans="1:27">
      <c r="A21" t="s">
        <v>120</v>
      </c>
      <c r="B21" t="s">
        <v>121</v>
      </c>
      <c r="E21" t="s">
        <v>50</v>
      </c>
      <c r="G21" t="str">
        <f t="shared" si="0"/>
        <v>S</v>
      </c>
      <c r="H21" t="str">
        <f t="shared" si="1"/>
        <v>S</v>
      </c>
      <c r="I21" s="15"/>
      <c r="J21" s="6" t="s">
        <v>49</v>
      </c>
      <c r="K21" s="17">
        <v>17</v>
      </c>
      <c r="L21" s="3" t="s">
        <v>52</v>
      </c>
      <c r="M21" s="3" t="s">
        <v>38</v>
      </c>
      <c r="N21" s="3" t="s">
        <v>54</v>
      </c>
      <c r="O21" s="3" t="s">
        <v>37</v>
      </c>
      <c r="P21" s="3" t="s">
        <v>54</v>
      </c>
      <c r="Q21" s="3" t="s">
        <v>42</v>
      </c>
      <c r="R21" s="3" t="s">
        <v>40</v>
      </c>
      <c r="S21" s="3" t="s">
        <v>44</v>
      </c>
      <c r="T21" s="23" t="s">
        <v>19</v>
      </c>
      <c r="Z21" s="17">
        <v>17</v>
      </c>
      <c r="AA21" s="6" t="s">
        <v>49</v>
      </c>
    </row>
    <row r="22" spans="1:27">
      <c r="E22" t="s">
        <v>51</v>
      </c>
      <c r="F22" t="s">
        <v>37</v>
      </c>
      <c r="G22" t="str">
        <f t="shared" si="0"/>
        <v>T</v>
      </c>
      <c r="H22" t="str">
        <f t="shared" si="1"/>
        <v>F</v>
      </c>
      <c r="I22" s="15"/>
      <c r="J22" s="6" t="s">
        <v>50</v>
      </c>
      <c r="K22" s="17">
        <v>18</v>
      </c>
      <c r="L22" s="3" t="s">
        <v>50</v>
      </c>
      <c r="M22" s="3" t="s">
        <v>56</v>
      </c>
      <c r="N22" s="3" t="s">
        <v>38</v>
      </c>
      <c r="O22" s="3" t="s">
        <v>51</v>
      </c>
      <c r="P22" s="3" t="s">
        <v>44</v>
      </c>
      <c r="Q22" s="3" t="s">
        <v>7</v>
      </c>
      <c r="R22" s="3" t="s">
        <v>53</v>
      </c>
      <c r="S22" s="3" t="s">
        <v>36</v>
      </c>
      <c r="T22" s="23" t="s">
        <v>37</v>
      </c>
      <c r="Z22" s="17">
        <v>18</v>
      </c>
      <c r="AA22" s="6" t="s">
        <v>50</v>
      </c>
    </row>
    <row r="23" spans="1:27">
      <c r="E23" t="s">
        <v>52</v>
      </c>
      <c r="G23" t="str">
        <f t="shared" si="0"/>
        <v>U</v>
      </c>
      <c r="H23" t="str">
        <f t="shared" si="1"/>
        <v>U</v>
      </c>
      <c r="I23" s="15"/>
      <c r="J23" s="6" t="s">
        <v>51</v>
      </c>
      <c r="K23" s="17">
        <v>19</v>
      </c>
      <c r="L23" s="3" t="s">
        <v>47</v>
      </c>
      <c r="M23" s="3" t="s">
        <v>45</v>
      </c>
      <c r="N23" s="3" t="s">
        <v>7</v>
      </c>
      <c r="O23" s="3" t="s">
        <v>38</v>
      </c>
      <c r="P23" s="3" t="s">
        <v>41</v>
      </c>
      <c r="Q23" s="3" t="s">
        <v>50</v>
      </c>
      <c r="R23" s="3" t="s">
        <v>43</v>
      </c>
      <c r="S23" s="3" t="s">
        <v>54</v>
      </c>
      <c r="T23" s="23" t="s">
        <v>56</v>
      </c>
      <c r="Z23" s="17">
        <v>19</v>
      </c>
      <c r="AA23" s="6" t="s">
        <v>51</v>
      </c>
    </row>
    <row r="24" spans="1:27">
      <c r="E24" t="s">
        <v>53</v>
      </c>
      <c r="F24" t="s">
        <v>48</v>
      </c>
      <c r="G24" t="str">
        <f t="shared" si="0"/>
        <v>V</v>
      </c>
      <c r="H24" t="str">
        <f t="shared" si="1"/>
        <v>Q</v>
      </c>
      <c r="I24" s="15"/>
      <c r="J24" s="6" t="s">
        <v>52</v>
      </c>
      <c r="K24" s="17">
        <v>20</v>
      </c>
      <c r="L24" s="3" t="s">
        <v>7</v>
      </c>
      <c r="M24" s="3" t="s">
        <v>47</v>
      </c>
      <c r="N24" s="3" t="s">
        <v>42</v>
      </c>
      <c r="O24" s="3" t="s">
        <v>42</v>
      </c>
      <c r="P24" s="3" t="s">
        <v>48</v>
      </c>
      <c r="Q24" s="3" t="s">
        <v>11</v>
      </c>
      <c r="R24" s="3" t="s">
        <v>47</v>
      </c>
      <c r="S24" s="3" t="s">
        <v>45</v>
      </c>
      <c r="T24" s="23" t="s">
        <v>20</v>
      </c>
      <c r="Z24" s="17">
        <v>20</v>
      </c>
      <c r="AA24" s="6" t="s">
        <v>52</v>
      </c>
    </row>
    <row r="25" spans="1:27">
      <c r="E25" t="s">
        <v>54</v>
      </c>
      <c r="G25" t="str">
        <f t="shared" si="0"/>
        <v>W</v>
      </c>
      <c r="H25" t="str">
        <f t="shared" si="1"/>
        <v>W</v>
      </c>
      <c r="I25" s="15"/>
      <c r="J25" s="6" t="s">
        <v>53</v>
      </c>
      <c r="K25" s="17">
        <v>21</v>
      </c>
      <c r="L25" s="3" t="s">
        <v>40</v>
      </c>
      <c r="M25" s="3" t="s">
        <v>55</v>
      </c>
      <c r="N25" s="3" t="s">
        <v>44</v>
      </c>
      <c r="O25" s="3" t="s">
        <v>35</v>
      </c>
      <c r="P25" s="3" t="s">
        <v>46</v>
      </c>
      <c r="Q25" s="3" t="s">
        <v>43</v>
      </c>
      <c r="R25" s="3" t="s">
        <v>36</v>
      </c>
      <c r="S25" s="3" t="s">
        <v>40</v>
      </c>
      <c r="T25" s="23" t="s">
        <v>54</v>
      </c>
      <c r="Z25" s="17">
        <v>21</v>
      </c>
      <c r="AA25" s="6" t="s">
        <v>53</v>
      </c>
    </row>
    <row r="26" spans="1:27">
      <c r="E26" t="s">
        <v>11</v>
      </c>
      <c r="G26" t="str">
        <f t="shared" si="0"/>
        <v>X</v>
      </c>
      <c r="H26" t="str">
        <f t="shared" si="1"/>
        <v>X</v>
      </c>
      <c r="I26" s="15"/>
      <c r="J26" s="6" t="s">
        <v>54</v>
      </c>
      <c r="K26" s="17">
        <v>22</v>
      </c>
      <c r="L26" s="3" t="s">
        <v>19</v>
      </c>
      <c r="M26" s="3" t="s">
        <v>37</v>
      </c>
      <c r="N26" s="3" t="s">
        <v>52</v>
      </c>
      <c r="O26" s="3" t="s">
        <v>20</v>
      </c>
      <c r="P26" s="3" t="s">
        <v>37</v>
      </c>
      <c r="Q26" s="3" t="s">
        <v>40</v>
      </c>
      <c r="R26" s="3" t="s">
        <v>42</v>
      </c>
      <c r="S26" s="3" t="s">
        <v>52</v>
      </c>
      <c r="T26" s="23" t="s">
        <v>53</v>
      </c>
      <c r="Z26" s="17">
        <v>22</v>
      </c>
      <c r="AA26" s="6" t="s">
        <v>54</v>
      </c>
    </row>
    <row r="27" spans="1:27">
      <c r="E27" t="s">
        <v>55</v>
      </c>
      <c r="G27" t="str">
        <f t="shared" si="0"/>
        <v>Y</v>
      </c>
      <c r="H27" t="str">
        <f t="shared" si="1"/>
        <v>Y</v>
      </c>
      <c r="I27" s="15"/>
      <c r="J27" s="6" t="s">
        <v>11</v>
      </c>
      <c r="K27" s="17">
        <v>23</v>
      </c>
      <c r="L27" s="3" t="s">
        <v>49</v>
      </c>
      <c r="M27" s="3" t="s">
        <v>53</v>
      </c>
      <c r="N27" s="3" t="s">
        <v>50</v>
      </c>
      <c r="O27" s="3" t="s">
        <v>44</v>
      </c>
      <c r="P27" s="3" t="s">
        <v>36</v>
      </c>
      <c r="Q27" s="3" t="s">
        <v>20</v>
      </c>
      <c r="R27" s="3" t="s">
        <v>48</v>
      </c>
      <c r="S27" s="3" t="s">
        <v>55</v>
      </c>
      <c r="T27" s="23" t="s">
        <v>41</v>
      </c>
      <c r="Z27" s="17">
        <v>23</v>
      </c>
      <c r="AA27" s="6" t="s">
        <v>11</v>
      </c>
    </row>
    <row r="28" spans="1:27">
      <c r="E28" t="s">
        <v>56</v>
      </c>
      <c r="G28" t="str">
        <f t="shared" si="0"/>
        <v>Z</v>
      </c>
      <c r="H28" t="str">
        <f t="shared" si="1"/>
        <v>Z</v>
      </c>
      <c r="I28" s="15"/>
      <c r="J28" s="6" t="s">
        <v>55</v>
      </c>
      <c r="K28" s="17">
        <v>24</v>
      </c>
      <c r="L28" s="3" t="s">
        <v>20</v>
      </c>
      <c r="M28" s="3" t="s">
        <v>46</v>
      </c>
      <c r="N28" s="3" t="s">
        <v>48</v>
      </c>
      <c r="O28" s="3" t="s">
        <v>54</v>
      </c>
      <c r="P28" s="3" t="s">
        <v>20</v>
      </c>
      <c r="Q28" s="3" t="s">
        <v>51</v>
      </c>
      <c r="R28" s="3" t="s">
        <v>35</v>
      </c>
      <c r="S28" s="3" t="s">
        <v>38</v>
      </c>
      <c r="T28" s="23" t="s">
        <v>7</v>
      </c>
      <c r="Z28" s="17">
        <v>24</v>
      </c>
      <c r="AA28" s="6" t="s">
        <v>55</v>
      </c>
    </row>
    <row r="29" spans="1:27">
      <c r="I29" s="15"/>
      <c r="J29" s="6" t="s">
        <v>56</v>
      </c>
      <c r="K29" s="17">
        <v>25</v>
      </c>
      <c r="L29" s="3" t="s">
        <v>41</v>
      </c>
      <c r="M29" s="3" t="s">
        <v>36</v>
      </c>
      <c r="N29" s="3" t="s">
        <v>46</v>
      </c>
      <c r="O29" s="3" t="s">
        <v>19</v>
      </c>
      <c r="P29" s="3" t="s">
        <v>42</v>
      </c>
      <c r="Q29" s="3" t="s">
        <v>54</v>
      </c>
      <c r="R29" s="3" t="s">
        <v>51</v>
      </c>
      <c r="S29" s="3" t="s">
        <v>53</v>
      </c>
      <c r="T29" s="23" t="s">
        <v>51</v>
      </c>
      <c r="Z29" s="17">
        <v>25</v>
      </c>
      <c r="AA29" s="6" t="s">
        <v>56</v>
      </c>
    </row>
    <row r="31" spans="1:27">
      <c r="J31" s="14" t="s">
        <v>84</v>
      </c>
      <c r="K31" s="6" t="s">
        <v>82</v>
      </c>
      <c r="L31" s="3">
        <v>16</v>
      </c>
      <c r="M31" s="3">
        <v>5</v>
      </c>
      <c r="N31" s="3">
        <v>21</v>
      </c>
      <c r="O31" s="3">
        <v>9</v>
      </c>
      <c r="P31" s="3">
        <v>25</v>
      </c>
      <c r="Q31" s="3">
        <v>12</v>
      </c>
      <c r="R31" s="3">
        <v>12</v>
      </c>
      <c r="S31" s="3">
        <v>12</v>
      </c>
    </row>
    <row r="32" spans="1:27">
      <c r="J32" s="15"/>
      <c r="K32" s="6" t="s">
        <v>83</v>
      </c>
      <c r="Q32" s="3">
        <v>25</v>
      </c>
      <c r="R32" s="3">
        <v>25</v>
      </c>
      <c r="S32" s="3">
        <v>25</v>
      </c>
    </row>
  </sheetData>
  <conditionalFormatting sqref="E3:F28">
    <cfRule type="expression" dxfId="1" priority="1">
      <formula>$E3=$F3</formula>
    </cfRule>
  </conditionalFormatting>
  <conditionalFormatting sqref="E3:E28">
    <cfRule type="expression" dxfId="0" priority="3">
      <formula>$F3&lt;&gt;""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Interface</vt:lpstr>
      <vt:lpstr>Enigma</vt:lpstr>
      <vt:lpstr>Decryptor</vt:lpstr>
      <vt:lpstr>Settings</vt:lpstr>
      <vt:lpstr>CharCountSteckered</vt:lpstr>
      <vt:lpstr>CharList</vt:lpstr>
      <vt:lpstr>CharNoLookup</vt:lpstr>
      <vt:lpstr>Inputtext</vt:lpstr>
      <vt:lpstr>RotorList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2009-07-14T03:41:10Z</dcterms:created>
  <dcterms:modified xsi:type="dcterms:W3CDTF">2009-07-21T03:19:31Z</dcterms:modified>
</cp:coreProperties>
</file>